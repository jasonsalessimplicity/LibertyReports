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2"/>
  </bookViews>
  <sheets>
    <sheet name="Information" sheetId="4" r:id="rId1"/>
    <sheet name="Admin" sheetId="10" r:id="rId2"/>
    <sheet name="Dashboard" sheetId="20" r:id="rId3"/>
    <sheet name="ReportData" sheetId="14" r:id="rId4"/>
    <sheet name="Sample Values" sheetId="5" r:id="rId5"/>
    <sheet name="ColumnLists" sheetId="6" state="veryHidden" r:id="rId6"/>
    <sheet name="SQL" sheetId="18" r:id="rId7"/>
    <sheet name="Cache" sheetId="19" state="veryHidden" r:id="rId8"/>
  </sheets>
  <functionGroups builtInGroupCount="18"/>
  <externalReferences>
    <externalReference r:id="rId9"/>
  </externalReferences>
  <definedNames>
    <definedName name="_xlnm._FilterDatabase" localSheetId="1" hidden="1">Admin!$B$6:$C$6</definedName>
    <definedName name="_xlnm._FilterDatabase" localSheetId="3" hidden="1">ReportData!$O$1:$O$133</definedName>
    <definedName name="Disclaimer">Information!#REF!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3">ReportData!$1:$5</definedName>
    <definedName name="qryDivision" localSheetId="1">Admin!$P$1:$P$8</definedName>
    <definedName name="qrySubdivision1" localSheetId="1">Admin!$R$1:$R$35</definedName>
    <definedName name="qrySubdivision2" localSheetId="3">ReportData!$A$5:$E$63</definedName>
    <definedName name="RevisionDate">Information!$D$45</definedName>
    <definedName name="RevisionNumber">Information!$D$44</definedName>
    <definedName name="TemplateName">Information!$D$2</definedName>
  </definedNames>
  <calcPr calcId="171027"/>
  <pivotCaches>
    <pivotCache cacheId="24" r:id="rId10"/>
  </pivotCaches>
</workbook>
</file>

<file path=xl/calcChain.xml><?xml version="1.0" encoding="utf-8"?>
<calcChain xmlns="http://schemas.openxmlformats.org/spreadsheetml/2006/main">
  <c r="A3" i="14" l="1"/>
  <c r="D6" i="10"/>
  <c r="D4" i="10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LR:Sales Simplicity" command="SELECT _x000d__x000a_  [Name] AS [Name]_x000d__x000a__x000d__x000a_FROM _x000d__x000a_  [dbo].[vutbDivision]_x000d__x000a__x000d__x000a_ORDER BY _x000d__x000a_  [Name]_x000d__x000a__x000d__x000a_"/>
  </connection>
  <connection id="2" name="Connection2" type="1" refreshedVersion="6" saveData="1">
    <dbPr connection="LR:Sales Simplicity" command="SELECT DISTINCT _x000d__x000a_  [dbo].[vutbSubdivision].[MarketingName] AS [MarketingName]_x000d__x000a__x000d__x000a_FROM _x000d__x000a_  [dbo].[vutbSubdivision]_x000d__x000a_  LEFT OUTER JOIN [dbo].[vutbDivision] ON [dbo].[vutbSubdivision].[DivisionID] = [dbo].[vutbDivision].[ID]_x000d__x000a__x000d__x000a_WHERE _x000d__x000a_  [dbo].[vutbDivision].[Name]=? _x000d__x000a__x000d__x000a_ORDER BY _x000d__x000a_  [dbo].[vutbSubdivision].[MarketingName]_x000d__x000a__x000d__x000a_"/>
    <parameters count="1">
      <parameter name="Parameter1" parameterType="cell" refreshOnChange="1" cell="Admin!$C$4"/>
    </parameters>
  </connection>
  <connection id="3" name="Connection3" type="1" refreshedVersion="6" saveData="1">
    <dbPr connection="LR:Sales Simplicity" command="select _x000d__x000a_Subdivision.ID as SubdivisionID,_x000d__x000a_Subdivision.MarketingName as Subdivision,_x000d__x000a_Agent.FirstName +' '+ Agent.LastName as AgentName,_x000d__x000a_DateName(Month,(ApprovalDate)) as SalesMonth, _x000d__x000a_Count(Client.ID) as SalesCount_x000d__x000a__x000d__x000a__x000d__x000a_from vutbSubdivision Subdivision_x000d__x000a_join vutbClient Client on Client.SubdivisionID = Subdivision.ID_x000d__x000a_join vutbMember Member on Member.ClientID = Client.ID _x000d__x000a__x0009_and member.MemberTypeID = 1_x000d__x000a_join vutbIndividual Ind on Ind.ID = Member.IndividualID_x000d__x000a_join vutbUser Agent on Agent.ID = Client.UserID_x000d__x000a_where Client.ApprovalDate &gt; = ?_x000d__x000a_and Client.ApprovalDate  &lt; = ?_x000d__x000a_and Subdivision.DivisionID = ?_x000d__x000a__x000d__x000a_group by _x000d__x000a_Subdivision.ID,_x000d__x000a_Subdivision.MarketingName,_x000d__x000a_Agent.FirstName, Agent.LastName,_x000d__x000a_DateName(Month,(ApprovalDate))_x000d__x000a__x000d__x000a__x000d__x000a__x000d__x000a_"/>
    <parameters count="3">
      <parameter name="Parameter1" parameterType="cell" refreshOnChange="1" cell="Admin!$C$8"/>
      <parameter name="Parameter2" parameterType="cell" refreshOnChange="1" cell="Admin!$C$10"/>
      <parameter name="Parameter3" parameterType="cell" refreshOnChange="1" cell="Admin!$D$4"/>
    </parameters>
  </connection>
</connections>
</file>

<file path=xl/sharedStrings.xml><?xml version="1.0" encoding="utf-8"?>
<sst xmlns="http://schemas.openxmlformats.org/spreadsheetml/2006/main" count="289" uniqueCount="100">
  <si>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</si>
  <si>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</si>
  <si>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</si>
  <si>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</si>
  <si>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</si>
  <si>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</si>
  <si>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</si>
  <si>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</si>
  <si>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</si>
  <si>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</si>
  <si>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</si>
  <si>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</si>
  <si>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</si>
  <si>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</si>
  <si>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</si>
  <si>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</si>
  <si>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</si>
  <si>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</si>
  <si>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</si>
  <si>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</si>
  <si>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</si>
  <si>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</si>
  <si>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</si>
  <si>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</si>
  <si>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</si>
  <si>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</si>
  <si>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</t>
  </si>
  <si>
    <t>Subdivision</t>
  </si>
  <si>
    <t>From Date:</t>
  </si>
  <si>
    <t>To Date:</t>
  </si>
  <si>
    <t>Name</t>
  </si>
  <si>
    <t>Calgary</t>
  </si>
  <si>
    <t>Events</t>
  </si>
  <si>
    <t>General Registration</t>
  </si>
  <si>
    <t>Main</t>
  </si>
  <si>
    <t>Realtors</t>
  </si>
  <si>
    <t>SSDeleteDivision</t>
  </si>
  <si>
    <t>Training Division</t>
  </si>
  <si>
    <t>ID</t>
  </si>
  <si>
    <t>MarketingName</t>
  </si>
  <si>
    <t>Canmore</t>
  </si>
  <si>
    <t>Edgemont</t>
  </si>
  <si>
    <t>Hanson Ridge</t>
  </si>
  <si>
    <t>Inner City</t>
  </si>
  <si>
    <t>Interior Designs</t>
  </si>
  <si>
    <t>Lake Chaparral</t>
  </si>
  <si>
    <t>Montreux</t>
  </si>
  <si>
    <t>Online Newsletter Registration</t>
  </si>
  <si>
    <t>Purcell Point</t>
  </si>
  <si>
    <t>Savanna</t>
  </si>
  <si>
    <t>Savanna Paired</t>
  </si>
  <si>
    <t>Shawnee Park</t>
  </si>
  <si>
    <t>Shawnee Park 2,5,6</t>
  </si>
  <si>
    <t>Special Projects and Office Kiosk</t>
  </si>
  <si>
    <t>Springborough</t>
  </si>
  <si>
    <t>Tuscany</t>
  </si>
  <si>
    <t>Walden</t>
  </si>
  <si>
    <t>Walden Paired</t>
  </si>
  <si>
    <t>Walden ZLL</t>
  </si>
  <si>
    <t>X - 30% of Work</t>
  </si>
  <si>
    <t>X - Auburn Bay</t>
  </si>
  <si>
    <t>X - Auburn Bay 27</t>
  </si>
  <si>
    <t>X - Chaparral Valley</t>
  </si>
  <si>
    <t>X - Cranston</t>
  </si>
  <si>
    <t>X - Evansview</t>
  </si>
  <si>
    <t>X - Evergreen</t>
  </si>
  <si>
    <t>X - McKenzie Towne</t>
  </si>
  <si>
    <t>X - New Brighton</t>
  </si>
  <si>
    <t>X - Panorama</t>
  </si>
  <si>
    <t>X - Quarry Park</t>
  </si>
  <si>
    <t>X - Reno - Basement Development</t>
  </si>
  <si>
    <t>X - Renovations</t>
  </si>
  <si>
    <t>X - Sales Pricing</t>
  </si>
  <si>
    <t>SubdivisionID</t>
  </si>
  <si>
    <t>AgentName</t>
  </si>
  <si>
    <t>SalesMonth</t>
  </si>
  <si>
    <t>SalesCount</t>
  </si>
  <si>
    <t>Jon Mortier</t>
  </si>
  <si>
    <t>April</t>
  </si>
  <si>
    <t>February</t>
  </si>
  <si>
    <t>January</t>
  </si>
  <si>
    <t>July</t>
  </si>
  <si>
    <t>June</t>
  </si>
  <si>
    <t>March</t>
  </si>
  <si>
    <t>May</t>
  </si>
  <si>
    <t>Row Labels</t>
  </si>
  <si>
    <t>Grand Total</t>
  </si>
  <si>
    <t>Column Labels</t>
  </si>
  <si>
    <t>Sum of SalesCount</t>
  </si>
  <si>
    <t>Paul King</t>
  </si>
  <si>
    <t>Jillian McKenzie</t>
  </si>
  <si>
    <t>August</t>
  </si>
  <si>
    <t>December</t>
  </si>
  <si>
    <t>November</t>
  </si>
  <si>
    <t>September</t>
  </si>
  <si>
    <t>Andrew Davidson</t>
  </si>
  <si>
    <t>Mark Endruhn</t>
  </si>
  <si>
    <t>Tracie Sartori</t>
  </si>
  <si>
    <t>October</t>
  </si>
  <si>
    <t>Tabi 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</si>
</sst>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0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u/>
      <sz val="11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6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5" borderId="10" applyNumberFormat="0" applyAlignment="0" applyProtection="0"/>
    <xf numFmtId="0" fontId="25" fillId="9" borderId="12" applyNumberFormat="0" applyAlignment="0" applyProtection="0"/>
    <xf numFmtId="0" fontId="28" fillId="12" borderId="10" applyNumberFormat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3" borderId="0" xfId="0" applyFont="1" applyFill="1" applyAlignment="1">
      <alignment horizontal="right"/>
    </xf>
    <xf numFmtId="0" fontId="27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0" fillId="0" borderId="0" xfId="0" applyFont="1" applyAlignment="1">
      <alignment horizontal="right"/>
    </xf>
    <xf numFmtId="0" fontId="26" fillId="10" borderId="2" xfId="4" applyAlignment="1">
      <alignment horizontal="right" wrapText="1"/>
    </xf>
    <xf numFmtId="0" fontId="28" fillId="12" borderId="10" xfId="20" applyAlignment="1">
      <alignment horizontal="left"/>
    </xf>
    <xf numFmtId="0" fontId="14" fillId="0" borderId="0" xfId="0" applyFont="1"/>
    <xf numFmtId="0" fontId="14" fillId="0" borderId="0" xfId="0" quotePrefix="1" applyFont="1"/>
    <xf numFmtId="14" fontId="28" fillId="12" borderId="10" xfId="20" applyNumberFormat="1" applyAlignment="1">
      <alignment horizontal="left"/>
    </xf>
    <xf numFmtId="0" fontId="0" fillId="13" borderId="0" xfId="0" applyFont="1" applyFill="1"/>
    <xf numFmtId="0" fontId="0" fillId="13" borderId="0" xfId="0" applyFont="1" applyFill="1" applyBorder="1" applyAlignment="1">
      <alignment horizontal="left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4" borderId="0" xfId="0" applyNumberFormat="1" applyFill="1"/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10"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</dxfs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[SubdivisionSalesCount.xlsm]Dashboard!PivotTable1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 Per Subdivision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Dashboard!$B$1:$B$2</c:f>
              <c:strCache>
                <c:ptCount val="1"/>
                <c:pt idx="0">
                  <c:v>January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Dashboard!$B$3:$B$12</c:f>
              <c:numCache>
                <c:formatCode>General</c:formatCode>
                <c:ptCount val="9"/>
                <c:pt idx="0">
                  <c:v>1</c:v>
                </c:pt>
                <c:pt idx="2">
                  <c:v>7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1-4BE2-B403-1EB1F685B124}"/>
            </c:ext>
          </c:extLst>
        </c:ser>
        <c:ser>
          <c:idx val="1"/>
          <c:order val="1"/>
          <c:tx>
            <c:strRef>
              <c:f>Dashboard!$C$1:$C$2</c:f>
              <c:strCache>
                <c:ptCount val="1"/>
                <c:pt idx="0">
                  <c:v>February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Dashboard!$C$3:$C$12</c:f>
              <c:numCache>
                <c:formatCode>General</c:formatCode>
                <c:ptCount val="9"/>
                <c:pt idx="0">
                  <c:v>3</c:v>
                </c:pt>
                <c:pt idx="2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935-492E-B610-697C47D6E908}"/>
            </c:ext>
          </c:extLst>
        </c:ser>
        <c:ser>
          <c:idx val="2"/>
          <c:order val="2"/>
          <c:tx>
            <c:strRef>
              <c:f>Dashboard!$D$1:$D$2</c:f>
              <c:strCache>
                <c:ptCount val="1"/>
                <c:pt idx="0">
                  <c:v>March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Dashboard!$D$3:$D$12</c:f>
              <c:numCache>
                <c:formatCode>General</c:formatCode>
                <c:ptCount val="9"/>
                <c:pt idx="0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935-492E-B610-697C47D6E908}"/>
            </c:ext>
          </c:extLst>
        </c:ser>
        <c:ser>
          <c:idx val="3"/>
          <c:order val="3"/>
          <c:tx>
            <c:strRef>
              <c:f>Dashboard!$E$1:$E$2</c:f>
              <c:strCache>
                <c:ptCount val="1"/>
                <c:pt idx="0">
                  <c:v>April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Dashboard!$E$3:$E$12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4">
                  <c:v>1</c:v>
                </c:pt>
                <c:pt idx="5">
                  <c:v>3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935-492E-B610-697C47D6E908}"/>
            </c:ext>
          </c:extLst>
        </c:ser>
        <c:ser>
          <c:idx val="4"/>
          <c:order val="4"/>
          <c:tx>
            <c:strRef>
              <c:f>Dashboard!$F$1:$F$2</c:f>
              <c:strCache>
                <c:ptCount val="1"/>
                <c:pt idx="0">
                  <c:v>May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Dashboard!$F$3:$F$12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7</c:v>
                </c:pt>
                <c:pt idx="6">
                  <c:v>4</c:v>
                </c:pt>
                <c:pt idx="7">
                  <c:v>12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35-492E-B610-697C47D6E908}"/>
            </c:ext>
          </c:extLst>
        </c:ser>
        <c:ser>
          <c:idx val="5"/>
          <c:order val="5"/>
          <c:tx>
            <c:strRef>
              <c:f>Dashboard!$G$1:$G$2</c:f>
              <c:strCache>
                <c:ptCount val="1"/>
                <c:pt idx="0">
                  <c:v>June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Dashboard!$G$3:$G$12</c:f>
              <c:numCache>
                <c:formatCode>General</c:formatCode>
                <c:ptCount val="9"/>
                <c:pt idx="0">
                  <c:v>1</c:v>
                </c:pt>
                <c:pt idx="2">
                  <c:v>4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935-492E-B610-697C47D6E908}"/>
            </c:ext>
          </c:extLst>
        </c:ser>
        <c:ser>
          <c:idx val="6"/>
          <c:order val="6"/>
          <c:tx>
            <c:strRef>
              <c:f>Dashboard!$H$1:$H$2</c:f>
              <c:strCache>
                <c:ptCount val="1"/>
                <c:pt idx="0">
                  <c:v>July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Dashboard!$H$3:$H$12</c:f>
              <c:numCache>
                <c:formatCode>General</c:formatCode>
                <c:ptCount val="9"/>
                <c:pt idx="0">
                  <c:v>1</c:v>
                </c:pt>
                <c:pt idx="2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935-492E-B610-697C47D6E908}"/>
            </c:ext>
          </c:extLst>
        </c:ser>
        <c:ser>
          <c:idx val="7"/>
          <c:order val="7"/>
          <c:tx>
            <c:strRef>
              <c:f>Dashboard!$I$1:$I$2</c:f>
              <c:strCache>
                <c:ptCount val="1"/>
                <c:pt idx="0">
                  <c:v>August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Dashboard!$I$3:$I$12</c:f>
              <c:numCache>
                <c:formatCode>General</c:formatCode>
                <c:ptCount val="9"/>
                <c:pt idx="2">
                  <c:v>6</c:v>
                </c:pt>
                <c:pt idx="6">
                  <c:v>1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935-492E-B610-697C47D6E908}"/>
            </c:ext>
          </c:extLst>
        </c:ser>
        <c:ser>
          <c:idx val="8"/>
          <c:order val="8"/>
          <c:tx>
            <c:strRef>
              <c:f>Dashboard!$J$1:$J$2</c:f>
              <c:strCache>
                <c:ptCount val="1"/>
                <c:pt idx="0">
                  <c:v>December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hade val="51000"/>
                    <a:satMod val="130000"/>
                  </a:schemeClr>
                </a:gs>
                <a:gs pos="80000">
                  <a:schemeClr val="accent3">
                    <a:lumMod val="60000"/>
                    <a:shade val="93000"/>
                    <a:satMod val="130000"/>
                  </a:schemeClr>
                </a:gs>
                <a:gs pos="100000">
                  <a:schemeClr val="accent3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Dashboard!$J$3:$J$12</c:f>
              <c:numCache>
                <c:formatCode>General</c:formatCode>
                <c:ptCount val="9"/>
                <c:pt idx="2">
                  <c:v>1</c:v>
                </c:pt>
                <c:pt idx="5">
                  <c:v>1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935-492E-B610-697C47D6E908}"/>
            </c:ext>
          </c:extLst>
        </c:ser>
        <c:ser>
          <c:idx val="9"/>
          <c:order val="9"/>
          <c:tx>
            <c:strRef>
              <c:f>Dashboard!$K$1:$K$2</c:f>
              <c:strCache>
                <c:ptCount val="1"/>
                <c:pt idx="0">
                  <c:v>November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hade val="51000"/>
                    <a:satMod val="130000"/>
                  </a:schemeClr>
                </a:gs>
                <a:gs pos="80000">
                  <a:schemeClr val="accent4">
                    <a:lumMod val="60000"/>
                    <a:shade val="93000"/>
                    <a:satMod val="130000"/>
                  </a:schemeClr>
                </a:gs>
                <a:gs pos="100000">
                  <a:schemeClr val="accent4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Dashboard!$K$3:$K$12</c:f>
              <c:numCache>
                <c:formatCode>General</c:formatCode>
                <c:ptCount val="9"/>
                <c:pt idx="2">
                  <c:v>1</c:v>
                </c:pt>
                <c:pt idx="5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935-492E-B610-697C47D6E908}"/>
            </c:ext>
          </c:extLst>
        </c:ser>
        <c:ser>
          <c:idx val="10"/>
          <c:order val="10"/>
          <c:tx>
            <c:strRef>
              <c:f>Dashboard!$L$1:$L$2</c:f>
              <c:strCache>
                <c:ptCount val="1"/>
                <c:pt idx="0">
                  <c:v>September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hade val="51000"/>
                    <a:satMod val="130000"/>
                  </a:schemeClr>
                </a:gs>
                <a:gs pos="80000">
                  <a:schemeClr val="accent5">
                    <a:lumMod val="60000"/>
                    <a:shade val="93000"/>
                    <a:satMod val="130000"/>
                  </a:schemeClr>
                </a:gs>
                <a:gs pos="100000">
                  <a:schemeClr val="accent5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Dashboard!$L$3:$L$12</c:f>
              <c:numCache>
                <c:formatCode>General</c:formatCode>
                <c:ptCount val="9"/>
                <c:pt idx="2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935-492E-B610-697C47D6E908}"/>
            </c:ext>
          </c:extLst>
        </c:ser>
        <c:ser>
          <c:idx val="11"/>
          <c:order val="11"/>
          <c:tx>
            <c:strRef>
              <c:f>Dashboard!$M$1:$M$2</c:f>
              <c:strCache>
                <c:ptCount val="1"/>
                <c:pt idx="0">
                  <c:v>October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hade val="51000"/>
                    <a:satMod val="130000"/>
                  </a:schemeClr>
                </a:gs>
                <a:gs pos="80000">
                  <a:schemeClr val="accent6">
                    <a:lumMod val="60000"/>
                    <a:shade val="93000"/>
                    <a:satMod val="130000"/>
                  </a:schemeClr>
                </a:gs>
                <a:gs pos="100000">
                  <a:schemeClr val="accent6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Dashboard!$A$3:$A$12</c:f>
              <c:strCache>
                <c:ptCount val="9"/>
                <c:pt idx="0">
                  <c:v>Shawnee Park</c:v>
                </c:pt>
                <c:pt idx="1">
                  <c:v>X - Chaparral Valley</c:v>
                </c:pt>
                <c:pt idx="2">
                  <c:v>Walden</c:v>
                </c:pt>
                <c:pt idx="3">
                  <c:v>Inner City</c:v>
                </c:pt>
                <c:pt idx="4">
                  <c:v>Walden ZLL</c:v>
                </c:pt>
                <c:pt idx="5">
                  <c:v>Walden Paired</c:v>
                </c:pt>
                <c:pt idx="6">
                  <c:v>Savanna Paired</c:v>
                </c:pt>
                <c:pt idx="7">
                  <c:v>Savanna</c:v>
                </c:pt>
                <c:pt idx="8">
                  <c:v>Shawnee Park 2,5,6</c:v>
                </c:pt>
              </c:strCache>
            </c:strRef>
          </c:cat>
          <c:val>
            <c:numRef>
              <c:f>Dashboard!$M$3:$M$12</c:f>
              <c:numCache>
                <c:formatCode>General</c:formatCode>
                <c:ptCount val="9"/>
                <c:pt idx="5">
                  <c:v>3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935-492E-B610-697C47D6E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212520"/>
        <c:axId val="627212848"/>
      </c:barChart>
      <c:catAx>
        <c:axId val="627212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12848"/>
        <c:crosses val="autoZero"/>
        <c:auto val="1"/>
        <c:lblAlgn val="ctr"/>
        <c:lblOffset val="100"/>
        <c:noMultiLvlLbl val="0"/>
      </c:catAx>
      <c:valAx>
        <c:axId val="6272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12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3</xdr:row>
          <xdr:rowOff>0</xdr:rowOff>
        </xdr:from>
        <xdr:to>
          <xdr:col>6</xdr:col>
          <xdr:colOff>647700</xdr:colOff>
          <xdr:row>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0</xdr:colOff>
      <xdr:row>44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B6772C-08CA-4966-89F3-64E6AF929F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Find"/>
      <definedName name="DBName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son Jones" refreshedDate="42947.665953009258" createdVersion="6" refreshedVersion="6" minRefreshableVersion="3" recordCount="58">
  <cacheSource type="worksheet">
    <worksheetSource name="qrySubdivision2" sheet="ReportData"/>
  </cacheSource>
  <cacheFields count="5">
    <cacheField name="SubdivisionID" numFmtId="0">
      <sharedItems containsSemiMixedTypes="0" containsString="0" containsNumber="1" containsInteger="1" minValue="3022" maxValue="6333"/>
    </cacheField>
    <cacheField name="Subdivision" numFmtId="0">
      <sharedItems containsBlank="1" count="10">
        <s v="X - Chaparral Valley"/>
        <s v="Walden"/>
        <s v="Inner City"/>
        <s v="Shawnee Park"/>
        <s v="Walden ZLL"/>
        <s v="Walden Paired"/>
        <s v="Savanna Paired"/>
        <s v="Savanna"/>
        <s v="Shawnee Park 2,5,6"/>
        <m u="1"/>
      </sharedItems>
    </cacheField>
    <cacheField name="AgentName" numFmtId="0">
      <sharedItems/>
    </cacheField>
    <cacheField name="SalesMonth" numFmtId="0">
      <sharedItems containsBlank="1" count="13">
        <s v="April"/>
        <s v="May"/>
        <s v="August"/>
        <s v="December"/>
        <s v="February"/>
        <s v="January"/>
        <s v="July"/>
        <s v="June"/>
        <s v="March"/>
        <s v="November"/>
        <s v="September"/>
        <s v="October"/>
        <m u="1"/>
      </sharedItems>
    </cacheField>
    <cacheField name="SalesCount" numFmtId="0">
      <sharedItems containsSemiMixedTypes="0" containsString="0" containsNumber="1" containsInteger="1" minValue="1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">
  <r>
    <n v="3022"/>
    <x v="0"/>
    <s v="Paul King"/>
    <x v="0"/>
    <n v="1"/>
  </r>
  <r>
    <n v="3022"/>
    <x v="0"/>
    <s v="Paul King"/>
    <x v="1"/>
    <n v="2"/>
  </r>
  <r>
    <n v="3029"/>
    <x v="1"/>
    <s v="Jillian McKenzie"/>
    <x v="2"/>
    <n v="1"/>
  </r>
  <r>
    <n v="3029"/>
    <x v="1"/>
    <s v="Paul King"/>
    <x v="0"/>
    <n v="2"/>
  </r>
  <r>
    <n v="3029"/>
    <x v="1"/>
    <s v="Paul King"/>
    <x v="2"/>
    <n v="5"/>
  </r>
  <r>
    <n v="3029"/>
    <x v="1"/>
    <s v="Paul King"/>
    <x v="3"/>
    <n v="1"/>
  </r>
  <r>
    <n v="3029"/>
    <x v="1"/>
    <s v="Paul King"/>
    <x v="4"/>
    <n v="4"/>
  </r>
  <r>
    <n v="3029"/>
    <x v="1"/>
    <s v="Paul King"/>
    <x v="5"/>
    <n v="7"/>
  </r>
  <r>
    <n v="3029"/>
    <x v="1"/>
    <s v="Paul King"/>
    <x v="6"/>
    <n v="3"/>
  </r>
  <r>
    <n v="3029"/>
    <x v="1"/>
    <s v="Paul King"/>
    <x v="7"/>
    <n v="4"/>
  </r>
  <r>
    <n v="3029"/>
    <x v="1"/>
    <s v="Paul King"/>
    <x v="8"/>
    <n v="2"/>
  </r>
  <r>
    <n v="3029"/>
    <x v="1"/>
    <s v="Paul King"/>
    <x v="1"/>
    <n v="6"/>
  </r>
  <r>
    <n v="3029"/>
    <x v="1"/>
    <s v="Paul King"/>
    <x v="9"/>
    <n v="1"/>
  </r>
  <r>
    <n v="3029"/>
    <x v="1"/>
    <s v="Paul King"/>
    <x v="10"/>
    <n v="1"/>
  </r>
  <r>
    <n v="3105"/>
    <x v="2"/>
    <s v="Andrew Davidson"/>
    <x v="1"/>
    <n v="2"/>
  </r>
  <r>
    <n v="3105"/>
    <x v="2"/>
    <s v="Mark Endruhn"/>
    <x v="8"/>
    <n v="1"/>
  </r>
  <r>
    <n v="4249"/>
    <x v="3"/>
    <s v="Jon Mortier"/>
    <x v="0"/>
    <n v="1"/>
  </r>
  <r>
    <n v="4249"/>
    <x v="3"/>
    <s v="Jon Mortier"/>
    <x v="4"/>
    <n v="3"/>
  </r>
  <r>
    <n v="4249"/>
    <x v="3"/>
    <s v="Jon Mortier"/>
    <x v="5"/>
    <n v="1"/>
  </r>
  <r>
    <n v="4249"/>
    <x v="3"/>
    <s v="Jon Mortier"/>
    <x v="6"/>
    <n v="1"/>
  </r>
  <r>
    <n v="4249"/>
    <x v="3"/>
    <s v="Jon Mortier"/>
    <x v="7"/>
    <n v="1"/>
  </r>
  <r>
    <n v="4249"/>
    <x v="3"/>
    <s v="Jon Mortier"/>
    <x v="8"/>
    <n v="2"/>
  </r>
  <r>
    <n v="4249"/>
    <x v="3"/>
    <s v="Jon Mortier"/>
    <x v="1"/>
    <n v="1"/>
  </r>
  <r>
    <n v="5552"/>
    <x v="4"/>
    <s v="Paul King"/>
    <x v="0"/>
    <n v="1"/>
  </r>
  <r>
    <n v="5552"/>
    <x v="4"/>
    <s v="Paul King"/>
    <x v="6"/>
    <n v="1"/>
  </r>
  <r>
    <n v="5552"/>
    <x v="4"/>
    <s v="Paul King"/>
    <x v="8"/>
    <n v="1"/>
  </r>
  <r>
    <n v="5552"/>
    <x v="4"/>
    <s v="Paul King"/>
    <x v="1"/>
    <n v="1"/>
  </r>
  <r>
    <n v="6077"/>
    <x v="5"/>
    <s v="Tracie Sartori"/>
    <x v="0"/>
    <n v="3"/>
  </r>
  <r>
    <n v="6077"/>
    <x v="5"/>
    <s v="Tracie Sartori"/>
    <x v="3"/>
    <n v="1"/>
  </r>
  <r>
    <n v="6077"/>
    <x v="5"/>
    <s v="Tracie Sartori"/>
    <x v="4"/>
    <n v="4"/>
  </r>
  <r>
    <n v="6077"/>
    <x v="5"/>
    <s v="Tracie Sartori"/>
    <x v="5"/>
    <n v="2"/>
  </r>
  <r>
    <n v="6077"/>
    <x v="5"/>
    <s v="Tracie Sartori"/>
    <x v="6"/>
    <n v="3"/>
  </r>
  <r>
    <n v="6077"/>
    <x v="5"/>
    <s v="Tracie Sartori"/>
    <x v="7"/>
    <n v="6"/>
  </r>
  <r>
    <n v="6077"/>
    <x v="5"/>
    <s v="Tracie Sartori"/>
    <x v="8"/>
    <n v="1"/>
  </r>
  <r>
    <n v="6077"/>
    <x v="5"/>
    <s v="Tracie Sartori"/>
    <x v="1"/>
    <n v="7"/>
  </r>
  <r>
    <n v="6077"/>
    <x v="5"/>
    <s v="Tracie Sartori"/>
    <x v="9"/>
    <n v="2"/>
  </r>
  <r>
    <n v="6077"/>
    <x v="5"/>
    <s v="Tracie Sartori"/>
    <x v="11"/>
    <n v="3"/>
  </r>
  <r>
    <n v="6077"/>
    <x v="5"/>
    <s v="Tracie Sartori"/>
    <x v="10"/>
    <n v="2"/>
  </r>
  <r>
    <n v="6108"/>
    <x v="6"/>
    <s v="Tabi Lam"/>
    <x v="2"/>
    <n v="1"/>
  </r>
  <r>
    <n v="6108"/>
    <x v="6"/>
    <s v="Tabi Lam"/>
    <x v="3"/>
    <n v="3"/>
  </r>
  <r>
    <n v="6108"/>
    <x v="6"/>
    <s v="Tabi Lam"/>
    <x v="5"/>
    <n v="2"/>
  </r>
  <r>
    <n v="6108"/>
    <x v="6"/>
    <s v="Tabi Lam"/>
    <x v="6"/>
    <n v="3"/>
  </r>
  <r>
    <n v="6108"/>
    <x v="6"/>
    <s v="Tabi Lam"/>
    <x v="7"/>
    <n v="4"/>
  </r>
  <r>
    <n v="6108"/>
    <x v="6"/>
    <s v="Tabi Lam"/>
    <x v="8"/>
    <n v="1"/>
  </r>
  <r>
    <n v="6108"/>
    <x v="6"/>
    <s v="Tabi Lam"/>
    <x v="1"/>
    <n v="4"/>
  </r>
  <r>
    <n v="6108"/>
    <x v="6"/>
    <s v="Tabi Lam"/>
    <x v="11"/>
    <n v="2"/>
  </r>
  <r>
    <n v="6108"/>
    <x v="6"/>
    <s v="Tabi Lam"/>
    <x v="10"/>
    <n v="2"/>
  </r>
  <r>
    <n v="6147"/>
    <x v="7"/>
    <s v="Tabi Lam"/>
    <x v="0"/>
    <n v="13"/>
  </r>
  <r>
    <n v="6147"/>
    <x v="7"/>
    <s v="Tabi Lam"/>
    <x v="2"/>
    <n v="6"/>
  </r>
  <r>
    <n v="6147"/>
    <x v="7"/>
    <s v="Tabi Lam"/>
    <x v="6"/>
    <n v="2"/>
  </r>
  <r>
    <n v="6147"/>
    <x v="7"/>
    <s v="Tabi Lam"/>
    <x v="7"/>
    <n v="9"/>
  </r>
  <r>
    <n v="6147"/>
    <x v="7"/>
    <s v="Tabi Lam"/>
    <x v="1"/>
    <n v="12"/>
  </r>
  <r>
    <n v="6147"/>
    <x v="7"/>
    <s v="Tabi Lam"/>
    <x v="11"/>
    <n v="1"/>
  </r>
  <r>
    <n v="6147"/>
    <x v="7"/>
    <s v="Tabi Lam"/>
    <x v="10"/>
    <n v="4"/>
  </r>
  <r>
    <n v="6333"/>
    <x v="8"/>
    <s v="Jon Mortier"/>
    <x v="6"/>
    <n v="3"/>
  </r>
  <r>
    <n v="6333"/>
    <x v="8"/>
    <s v="Jon Mortier"/>
    <x v="7"/>
    <n v="3"/>
  </r>
  <r>
    <n v="6333"/>
    <x v="8"/>
    <s v="Jon Mortier"/>
    <x v="1"/>
    <n v="1"/>
  </r>
  <r>
    <n v="6333"/>
    <x v="8"/>
    <s v="Jon Mortier"/>
    <x v="9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1:N12" firstHeaderRow="1" firstDataRow="2" firstDataCol="1"/>
  <pivotFields count="5">
    <pivotField subtotalTop="0" showAll="0"/>
    <pivotField axis="axisRow" subtotalTop="0" showAll="0">
      <items count="11">
        <item x="3"/>
        <item x="0"/>
        <item x="1"/>
        <item x="2"/>
        <item x="4"/>
        <item x="5"/>
        <item x="6"/>
        <item x="7"/>
        <item x="8"/>
        <item m="1" x="9"/>
        <item t="default"/>
      </items>
    </pivotField>
    <pivotField subtotalTop="0" showAll="0"/>
    <pivotField axis="axisCol" subtotalTop="0" showAll="0">
      <items count="14">
        <item x="5"/>
        <item x="4"/>
        <item x="8"/>
        <item x="0"/>
        <item x="1"/>
        <item x="7"/>
        <item x="6"/>
        <item x="2"/>
        <item x="3"/>
        <item x="9"/>
        <item x="10"/>
        <item x="11"/>
        <item m="1" x="12"/>
        <item t="default"/>
      </items>
    </pivotField>
    <pivotField dataField="1" subtotalTop="0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3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SalesCount" fld="4" baseField="0" baseItem="0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3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1" type="button" dataOnly="0" labelOnly="1" outline="0" axis="axisRow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3" count="0"/>
        </references>
      </pivotArea>
    </format>
    <format dxfId="0">
      <pivotArea dataOnly="0" labelOnly="1" grandCol="1" outline="0" fieldPosition="0"/>
    </format>
  </formats>
  <chartFormats count="44">
    <chartFormat chart="0" format="0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3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rySubdivision1" backgroundRefresh="0" fillFormulas="1" adjustColumnWidth="0" connectionId="2" autoFormatId="16" applyNumberFormats="0" applyBorderFormats="0" applyFontFormats="1" applyPatternFormats="1" applyAlignmentFormats="0" applyWidthHeightFormats="0">
  <queryTableRefresh nextId="3">
    <queryTableFields count="1">
      <queryTableField id="2" name="MarketingName"/>
    </queryTableFields>
  </queryTableRefresh>
</queryTable>
</file>

<file path=xl/queryTables/queryTable2.xml><?xml version="1.0" encoding="utf-8"?>
<queryTable xmlns="http://schemas.openxmlformats.org/spreadsheetml/2006/main" name="qryDivision" backgroundRefresh="0" fillFormulas="1" adjustColumnWidth="0" connectionId="1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qrySubdivision2" backgroundRefresh="0" fillFormulas="1" adjustColumnWidth="0" connectionId="3" autoFormatId="16" applyNumberFormats="0" applyBorderFormats="0" applyFontFormats="1" applyPatternFormats="1" applyAlignmentFormats="0" applyWidthHeightFormats="0">
  <queryTableRefresh nextId="7">
    <queryTableFields count="5">
      <queryTableField id="2" name="SubdivisionID"/>
      <queryTableField id="3" name="Subdivision"/>
      <queryTableField id="4" name="AgentName"/>
      <queryTableField id="5" name="SalesMonth"/>
      <queryTableField id="6" name="SalesCount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22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3" t="s">
        <v>19</v>
      </c>
      <c r="F10"/>
    </row>
    <row r="11" spans="2:6" s="24" customFormat="1" ht="26.25" thickTop="1" x14ac:dyDescent="0.2">
      <c r="B11" s="26"/>
      <c r="D11" s="8" t="s">
        <v>20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23</v>
      </c>
    </row>
    <row r="15" spans="2:6" s="24" customFormat="1" x14ac:dyDescent="0.2">
      <c r="B15" s="26"/>
      <c r="D15" s="7" t="s">
        <v>24</v>
      </c>
    </row>
    <row r="17" spans="2:4" ht="12.75" customHeight="1" x14ac:dyDescent="0.2">
      <c r="B17" s="23" t="s">
        <v>15</v>
      </c>
      <c r="D17" s="2" t="s">
        <v>18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4" t="s">
        <v>21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dmin">
    <pageSetUpPr autoPageBreaks="0"/>
  </sheetPr>
  <dimension ref="B1:S56"/>
  <sheetViews>
    <sheetView showGridLines="0" zoomScaleNormal="100" workbookViewId="0">
      <selection activeCell="F7" sqref="F7"/>
    </sheetView>
  </sheetViews>
  <sheetFormatPr defaultColWidth="8.7109375" defaultRowHeight="15.95" customHeight="1" x14ac:dyDescent="0.2"/>
  <cols>
    <col min="1" max="1" width="8.7109375" style="13"/>
    <col min="2" max="2" width="11.5703125" style="13" bestFit="1" customWidth="1"/>
    <col min="3" max="3" width="29.140625" style="16" bestFit="1" customWidth="1"/>
    <col min="4" max="4" width="10.7109375" style="13" hidden="1" customWidth="1"/>
    <col min="5" max="7" width="10.7109375" style="13" customWidth="1"/>
    <col min="8" max="14" width="8.7109375" style="13"/>
    <col min="15" max="15" width="0" style="13" hidden="1" customWidth="1"/>
    <col min="16" max="16" width="18.140625" style="13" hidden="1" customWidth="1"/>
    <col min="17" max="17" width="0" style="13" hidden="1" customWidth="1"/>
    <col min="18" max="18" width="30" style="13" hidden="1" customWidth="1"/>
    <col min="19" max="19" width="0.7109375" style="13" hidden="1" customWidth="1"/>
    <col min="20" max="20" width="0" style="13" hidden="1" customWidth="1"/>
    <col min="21" max="16384" width="8.7109375" style="13"/>
  </cols>
  <sheetData>
    <row r="1" spans="2:18" ht="12.75" x14ac:dyDescent="0.2">
      <c r="P1" s="38" t="s">
        <v>30</v>
      </c>
      <c r="R1" s="38" t="s">
        <v>39</v>
      </c>
    </row>
    <row r="2" spans="2:18" ht="18.75" thickBot="1" x14ac:dyDescent="0.3">
      <c r="B2" s="43" t="s">
        <v>5</v>
      </c>
      <c r="C2" s="43"/>
      <c r="D2" s="43"/>
      <c r="E2" s="43"/>
      <c r="F2" s="43"/>
      <c r="G2" s="43"/>
      <c r="P2" s="13" t="s">
        <v>31</v>
      </c>
      <c r="R2" s="13" t="s">
        <v>40</v>
      </c>
    </row>
    <row r="3" spans="2:18" ht="13.5" thickTop="1" x14ac:dyDescent="0.2">
      <c r="D3" s="39" t="s">
        <v>38</v>
      </c>
      <c r="P3" s="13" t="s">
        <v>32</v>
      </c>
      <c r="R3" s="13" t="s">
        <v>41</v>
      </c>
    </row>
    <row r="4" spans="2:18" ht="15" x14ac:dyDescent="0.25">
      <c r="B4" s="36" t="s">
        <v>26</v>
      </c>
      <c r="C4" s="37" t="s">
        <v>31</v>
      </c>
      <c r="D4" s="13">
        <f>[1]!DBFind("Sales Simplicity", "[dbo].[vutbDivision]", "ID", "[Name]=?", "First", $C4)</f>
        <v>695</v>
      </c>
      <c r="P4" s="13" t="s">
        <v>33</v>
      </c>
      <c r="R4" s="13" t="s">
        <v>42</v>
      </c>
    </row>
    <row r="5" spans="2:18" ht="12.75" x14ac:dyDescent="0.2">
      <c r="B5"/>
      <c r="D5" s="39" t="s">
        <v>38</v>
      </c>
      <c r="P5" s="13" t="s">
        <v>34</v>
      </c>
      <c r="R5" s="13" t="s">
        <v>43</v>
      </c>
    </row>
    <row r="6" spans="2:18" ht="15" x14ac:dyDescent="0.25">
      <c r="B6" s="36" t="s">
        <v>27</v>
      </c>
      <c r="C6" s="37" t="s">
        <v>56</v>
      </c>
      <c r="D6" s="13">
        <f>[1]!DBFind("Sales Simplicity", "[dbo].[vutbSubdivision]", "ID", "[MarketingName]=?", "First", $C6)</f>
        <v>3029</v>
      </c>
      <c r="P6" s="13" t="s">
        <v>35</v>
      </c>
      <c r="R6" s="13" t="s">
        <v>44</v>
      </c>
    </row>
    <row r="7" spans="2:18" ht="12.75" x14ac:dyDescent="0.2">
      <c r="B7"/>
      <c r="P7" s="13" t="s">
        <v>36</v>
      </c>
      <c r="R7" s="13" t="s">
        <v>45</v>
      </c>
    </row>
    <row r="8" spans="2:18" ht="15" x14ac:dyDescent="0.25">
      <c r="B8" s="36" t="s">
        <v>28</v>
      </c>
      <c r="C8" s="40">
        <v>42370</v>
      </c>
      <c r="P8" s="13" t="s">
        <v>37</v>
      </c>
      <c r="R8" s="13" t="s">
        <v>46</v>
      </c>
    </row>
    <row r="9" spans="2:18" ht="12.75" x14ac:dyDescent="0.2">
      <c r="B9"/>
      <c r="R9" s="13" t="s">
        <v>47</v>
      </c>
    </row>
    <row r="10" spans="2:18" ht="15" x14ac:dyDescent="0.25">
      <c r="B10" s="36" t="s">
        <v>29</v>
      </c>
      <c r="C10" s="40">
        <v>42940</v>
      </c>
      <c r="R10" s="13" t="s">
        <v>48</v>
      </c>
    </row>
    <row r="11" spans="2:18" ht="12.75" x14ac:dyDescent="0.2">
      <c r="B11" s="35"/>
      <c r="R11" s="13" t="s">
        <v>35</v>
      </c>
    </row>
    <row r="12" spans="2:18" ht="12.75" x14ac:dyDescent="0.2">
      <c r="B12" s="41"/>
      <c r="C12" s="42"/>
      <c r="D12" s="41"/>
      <c r="E12" s="41"/>
      <c r="R12" s="13" t="s">
        <v>49</v>
      </c>
    </row>
    <row r="13" spans="2:18" ht="12.75" x14ac:dyDescent="0.2">
      <c r="B13" s="41"/>
      <c r="C13" s="42"/>
      <c r="D13" s="41"/>
      <c r="E13" s="41"/>
      <c r="R13" s="13" t="s">
        <v>50</v>
      </c>
    </row>
    <row r="14" spans="2:18" ht="12.75" x14ac:dyDescent="0.2">
      <c r="B14" s="41"/>
      <c r="C14" s="42"/>
      <c r="D14" s="41"/>
      <c r="E14" s="41"/>
      <c r="R14" s="13" t="s">
        <v>51</v>
      </c>
    </row>
    <row r="15" spans="2:18" ht="12.75" x14ac:dyDescent="0.2">
      <c r="B15" s="41"/>
      <c r="C15" s="42"/>
      <c r="D15" s="41"/>
      <c r="E15" s="41"/>
      <c r="R15" s="13" t="s">
        <v>52</v>
      </c>
    </row>
    <row r="16" spans="2:18" ht="12.75" x14ac:dyDescent="0.2">
      <c r="B16" s="41"/>
      <c r="C16" s="42"/>
      <c r="D16" s="41"/>
      <c r="E16" s="41"/>
      <c r="R16" s="13" t="s">
        <v>53</v>
      </c>
    </row>
    <row r="17" spans="2:18" ht="12.75" x14ac:dyDescent="0.2">
      <c r="B17" s="41"/>
      <c r="C17" s="42"/>
      <c r="D17" s="41"/>
      <c r="E17" s="41"/>
      <c r="R17" s="13" t="s">
        <v>54</v>
      </c>
    </row>
    <row r="18" spans="2:18" ht="12.75" x14ac:dyDescent="0.2">
      <c r="B18" s="41"/>
      <c r="C18" s="42"/>
      <c r="D18" s="41"/>
      <c r="E18" s="41"/>
      <c r="R18" s="13" t="s">
        <v>55</v>
      </c>
    </row>
    <row r="19" spans="2:18" ht="12.75" x14ac:dyDescent="0.2">
      <c r="B19" s="41"/>
      <c r="C19" s="42"/>
      <c r="D19" s="41"/>
      <c r="E19" s="41"/>
      <c r="R19" s="13" t="s">
        <v>56</v>
      </c>
    </row>
    <row r="20" spans="2:18" ht="12.75" x14ac:dyDescent="0.2">
      <c r="B20" s="41"/>
      <c r="C20" s="42"/>
      <c r="D20" s="41"/>
      <c r="E20" s="41"/>
      <c r="R20" s="13" t="s">
        <v>57</v>
      </c>
    </row>
    <row r="21" spans="2:18" ht="12.75" x14ac:dyDescent="0.2">
      <c r="R21" s="13" t="s">
        <v>58</v>
      </c>
    </row>
    <row r="22" spans="2:18" ht="12.75" x14ac:dyDescent="0.2">
      <c r="R22" s="13" t="s">
        <v>59</v>
      </c>
    </row>
    <row r="23" spans="2:18" ht="12.75" x14ac:dyDescent="0.2">
      <c r="R23" s="13" t="s">
        <v>60</v>
      </c>
    </row>
    <row r="24" spans="2:18" ht="12.75" x14ac:dyDescent="0.2">
      <c r="R24" s="13" t="s">
        <v>61</v>
      </c>
    </row>
    <row r="25" spans="2:18" ht="12.75" x14ac:dyDescent="0.2">
      <c r="R25" s="13" t="s">
        <v>62</v>
      </c>
    </row>
    <row r="26" spans="2:18" ht="12.75" x14ac:dyDescent="0.2">
      <c r="R26" s="13" t="s">
        <v>63</v>
      </c>
    </row>
    <row r="27" spans="2:18" ht="12.75" x14ac:dyDescent="0.2">
      <c r="R27" s="13" t="s">
        <v>64</v>
      </c>
    </row>
    <row r="28" spans="2:18" ht="12.75" x14ac:dyDescent="0.2">
      <c r="R28" s="13" t="s">
        <v>65</v>
      </c>
    </row>
    <row r="29" spans="2:18" ht="12.75" x14ac:dyDescent="0.2">
      <c r="R29" s="13" t="s">
        <v>66</v>
      </c>
    </row>
    <row r="30" spans="2:18" ht="12.75" x14ac:dyDescent="0.2">
      <c r="R30" s="13" t="s">
        <v>67</v>
      </c>
    </row>
    <row r="31" spans="2:18" ht="12.75" x14ac:dyDescent="0.2">
      <c r="R31" s="13" t="s">
        <v>68</v>
      </c>
    </row>
    <row r="32" spans="2:18" ht="12.75" x14ac:dyDescent="0.2">
      <c r="R32" s="13" t="s">
        <v>69</v>
      </c>
    </row>
    <row r="33" spans="18:18" ht="12.75" x14ac:dyDescent="0.2">
      <c r="R33" s="13" t="s">
        <v>70</v>
      </c>
    </row>
    <row r="34" spans="18:18" ht="12.75" x14ac:dyDescent="0.2">
      <c r="R34" s="13" t="s">
        <v>71</v>
      </c>
    </row>
    <row r="35" spans="18:18" ht="12.75" x14ac:dyDescent="0.2">
      <c r="R35" s="13" t="s">
        <v>72</v>
      </c>
    </row>
    <row r="36" spans="18:18" ht="12.75" x14ac:dyDescent="0.2"/>
    <row r="37" spans="18:18" ht="12.75" x14ac:dyDescent="0.2"/>
    <row r="38" spans="18:18" ht="12.75" x14ac:dyDescent="0.2"/>
    <row r="39" spans="18:18" ht="12.75" x14ac:dyDescent="0.2"/>
    <row r="40" spans="18:18" ht="12.75" x14ac:dyDescent="0.2"/>
    <row r="41" spans="18:18" ht="12.75" x14ac:dyDescent="0.2"/>
    <row r="42" spans="18:18" ht="12.75" x14ac:dyDescent="0.2"/>
    <row r="43" spans="18:18" ht="12.75" x14ac:dyDescent="0.2"/>
    <row r="44" spans="18:18" ht="12.75" x14ac:dyDescent="0.2"/>
    <row r="45" spans="18:18" ht="12.75" x14ac:dyDescent="0.2"/>
    <row r="46" spans="18:18" ht="12.75" x14ac:dyDescent="0.2"/>
    <row r="47" spans="18:18" ht="12.75" x14ac:dyDescent="0.2"/>
    <row r="48" spans="18:18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</sheetData>
  <mergeCells count="1">
    <mergeCell ref="B2:G2"/>
  </mergeCells>
  <phoneticPr fontId="9" type="noConversion"/>
  <dataValidations count="2">
    <dataValidation type="list" allowBlank="1" showInputMessage="1" showErrorMessage="1" sqref="C4">
      <formula1>qryDivision</formula1>
    </dataValidation>
    <dataValidation type="list" allowBlank="1" showInputMessage="1" showErrorMessage="1" sqref="C6">
      <formula1>qrySubdivision1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utoRefreshChart">
                <anchor>
                  <from>
                    <xdr:col>4</xdr:col>
                    <xdr:colOff>314325</xdr:colOff>
                    <xdr:row>3</xdr:row>
                    <xdr:rowOff>0</xdr:rowOff>
                  </from>
                  <to>
                    <xdr:col>6</xdr:col>
                    <xdr:colOff>647700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N12"/>
  <sheetViews>
    <sheetView tabSelected="1" workbookViewId="0">
      <selection activeCell="AB20" sqref="AB20"/>
    </sheetView>
  </sheetViews>
  <sheetFormatPr defaultRowHeight="12.75" x14ac:dyDescent="0.2"/>
  <cols>
    <col min="1" max="1" width="18.5703125" style="46" customWidth="1"/>
    <col min="2" max="2" width="17" style="46" bestFit="1" customWidth="1"/>
    <col min="3" max="3" width="9.140625" style="46" bestFit="1" customWidth="1"/>
    <col min="4" max="4" width="6.5703125" style="46" customWidth="1"/>
    <col min="5" max="5" width="5.28515625" style="46" customWidth="1"/>
    <col min="6" max="6" width="4.7109375" style="46" customWidth="1"/>
    <col min="7" max="7" width="5.42578125" style="46" customWidth="1"/>
    <col min="8" max="8" width="4.7109375" style="46" customWidth="1"/>
    <col min="9" max="9" width="7.140625" style="46" customWidth="1"/>
    <col min="10" max="11" width="10.28515625" style="46" bestFit="1" customWidth="1"/>
    <col min="12" max="12" width="11" style="46" bestFit="1" customWidth="1"/>
    <col min="13" max="13" width="8.140625" style="46" customWidth="1"/>
    <col min="14" max="14" width="11.7109375" style="46" bestFit="1" customWidth="1"/>
    <col min="15" max="16384" width="9.140625" style="46"/>
  </cols>
  <sheetData>
    <row r="1" spans="1:14" x14ac:dyDescent="0.2">
      <c r="A1" s="46" t="s">
        <v>88</v>
      </c>
      <c r="B1" s="46" t="s">
        <v>87</v>
      </c>
    </row>
    <row r="2" spans="1:14" x14ac:dyDescent="0.2">
      <c r="A2" s="46" t="s">
        <v>85</v>
      </c>
      <c r="B2" s="46" t="s">
        <v>80</v>
      </c>
      <c r="C2" s="46" t="s">
        <v>79</v>
      </c>
      <c r="D2" s="46" t="s">
        <v>83</v>
      </c>
      <c r="E2" s="46" t="s">
        <v>78</v>
      </c>
      <c r="F2" s="46" t="s">
        <v>84</v>
      </c>
      <c r="G2" s="46" t="s">
        <v>82</v>
      </c>
      <c r="H2" s="46" t="s">
        <v>81</v>
      </c>
      <c r="I2" s="46" t="s">
        <v>91</v>
      </c>
      <c r="J2" s="46" t="s">
        <v>92</v>
      </c>
      <c r="K2" s="46" t="s">
        <v>93</v>
      </c>
      <c r="L2" s="46" t="s">
        <v>94</v>
      </c>
      <c r="M2" s="46" t="s">
        <v>98</v>
      </c>
      <c r="N2" s="46" t="s">
        <v>86</v>
      </c>
    </row>
    <row r="3" spans="1:14" x14ac:dyDescent="0.2">
      <c r="A3" s="47" t="s">
        <v>51</v>
      </c>
      <c r="B3" s="48">
        <v>1</v>
      </c>
      <c r="C3" s="48">
        <v>3</v>
      </c>
      <c r="D3" s="48">
        <v>2</v>
      </c>
      <c r="E3" s="48">
        <v>1</v>
      </c>
      <c r="F3" s="48">
        <v>1</v>
      </c>
      <c r="G3" s="48">
        <v>1</v>
      </c>
      <c r="H3" s="48">
        <v>1</v>
      </c>
      <c r="I3" s="48"/>
      <c r="J3" s="48"/>
      <c r="K3" s="48"/>
      <c r="L3" s="48"/>
      <c r="M3" s="48"/>
      <c r="N3" s="48">
        <v>10</v>
      </c>
    </row>
    <row r="4" spans="1:14" x14ac:dyDescent="0.2">
      <c r="A4" s="47" t="s">
        <v>62</v>
      </c>
      <c r="B4" s="48"/>
      <c r="C4" s="48"/>
      <c r="D4" s="48"/>
      <c r="E4" s="48">
        <v>1</v>
      </c>
      <c r="F4" s="48">
        <v>2</v>
      </c>
      <c r="G4" s="48"/>
      <c r="H4" s="48"/>
      <c r="I4" s="48"/>
      <c r="J4" s="48"/>
      <c r="K4" s="48"/>
      <c r="L4" s="48"/>
      <c r="M4" s="48"/>
      <c r="N4" s="48">
        <v>3</v>
      </c>
    </row>
    <row r="5" spans="1:14" x14ac:dyDescent="0.2">
      <c r="A5" s="47" t="s">
        <v>56</v>
      </c>
      <c r="B5" s="48">
        <v>7</v>
      </c>
      <c r="C5" s="48">
        <v>4</v>
      </c>
      <c r="D5" s="48">
        <v>2</v>
      </c>
      <c r="E5" s="48">
        <v>2</v>
      </c>
      <c r="F5" s="48">
        <v>6</v>
      </c>
      <c r="G5" s="48">
        <v>4</v>
      </c>
      <c r="H5" s="48">
        <v>3</v>
      </c>
      <c r="I5" s="48">
        <v>6</v>
      </c>
      <c r="J5" s="48">
        <v>1</v>
      </c>
      <c r="K5" s="48">
        <v>1</v>
      </c>
      <c r="L5" s="48">
        <v>1</v>
      </c>
      <c r="M5" s="48"/>
      <c r="N5" s="48">
        <v>37</v>
      </c>
    </row>
    <row r="6" spans="1:14" x14ac:dyDescent="0.2">
      <c r="A6" s="47" t="s">
        <v>43</v>
      </c>
      <c r="B6" s="48"/>
      <c r="C6" s="48"/>
      <c r="D6" s="48">
        <v>1</v>
      </c>
      <c r="E6" s="48"/>
      <c r="F6" s="48">
        <v>2</v>
      </c>
      <c r="G6" s="48"/>
      <c r="H6" s="48"/>
      <c r="I6" s="48"/>
      <c r="J6" s="48"/>
      <c r="K6" s="48"/>
      <c r="L6" s="48"/>
      <c r="M6" s="48"/>
      <c r="N6" s="48">
        <v>3</v>
      </c>
    </row>
    <row r="7" spans="1:14" x14ac:dyDescent="0.2">
      <c r="A7" s="47" t="s">
        <v>58</v>
      </c>
      <c r="B7" s="48"/>
      <c r="C7" s="48"/>
      <c r="D7" s="48">
        <v>1</v>
      </c>
      <c r="E7" s="48">
        <v>1</v>
      </c>
      <c r="F7" s="48">
        <v>1</v>
      </c>
      <c r="G7" s="48"/>
      <c r="H7" s="48">
        <v>1</v>
      </c>
      <c r="I7" s="48"/>
      <c r="J7" s="48"/>
      <c r="K7" s="48"/>
      <c r="L7" s="48"/>
      <c r="M7" s="48"/>
      <c r="N7" s="48">
        <v>4</v>
      </c>
    </row>
    <row r="8" spans="1:14" x14ac:dyDescent="0.2">
      <c r="A8" s="47" t="s">
        <v>57</v>
      </c>
      <c r="B8" s="48">
        <v>2</v>
      </c>
      <c r="C8" s="48">
        <v>4</v>
      </c>
      <c r="D8" s="48">
        <v>1</v>
      </c>
      <c r="E8" s="48">
        <v>3</v>
      </c>
      <c r="F8" s="48">
        <v>7</v>
      </c>
      <c r="G8" s="48">
        <v>6</v>
      </c>
      <c r="H8" s="48">
        <v>3</v>
      </c>
      <c r="I8" s="48"/>
      <c r="J8" s="48">
        <v>1</v>
      </c>
      <c r="K8" s="48">
        <v>2</v>
      </c>
      <c r="L8" s="48">
        <v>2</v>
      </c>
      <c r="M8" s="48">
        <v>3</v>
      </c>
      <c r="N8" s="48">
        <v>34</v>
      </c>
    </row>
    <row r="9" spans="1:14" x14ac:dyDescent="0.2">
      <c r="A9" s="47" t="s">
        <v>50</v>
      </c>
      <c r="B9" s="48">
        <v>2</v>
      </c>
      <c r="C9" s="48"/>
      <c r="D9" s="48">
        <v>1</v>
      </c>
      <c r="E9" s="48"/>
      <c r="F9" s="48">
        <v>4</v>
      </c>
      <c r="G9" s="48">
        <v>4</v>
      </c>
      <c r="H9" s="48">
        <v>3</v>
      </c>
      <c r="I9" s="48">
        <v>1</v>
      </c>
      <c r="J9" s="48">
        <v>3</v>
      </c>
      <c r="K9" s="48"/>
      <c r="L9" s="48">
        <v>2</v>
      </c>
      <c r="M9" s="48">
        <v>2</v>
      </c>
      <c r="N9" s="48">
        <v>22</v>
      </c>
    </row>
    <row r="10" spans="1:14" x14ac:dyDescent="0.2">
      <c r="A10" s="47" t="s">
        <v>49</v>
      </c>
      <c r="B10" s="48"/>
      <c r="C10" s="48"/>
      <c r="D10" s="48"/>
      <c r="E10" s="48">
        <v>13</v>
      </c>
      <c r="F10" s="48">
        <v>12</v>
      </c>
      <c r="G10" s="48">
        <v>9</v>
      </c>
      <c r="H10" s="48">
        <v>2</v>
      </c>
      <c r="I10" s="48">
        <v>6</v>
      </c>
      <c r="J10" s="48"/>
      <c r="K10" s="48"/>
      <c r="L10" s="48">
        <v>4</v>
      </c>
      <c r="M10" s="48">
        <v>1</v>
      </c>
      <c r="N10" s="48">
        <v>47</v>
      </c>
    </row>
    <row r="11" spans="1:14" x14ac:dyDescent="0.2">
      <c r="A11" s="47" t="s">
        <v>52</v>
      </c>
      <c r="B11" s="48"/>
      <c r="C11" s="48"/>
      <c r="D11" s="48"/>
      <c r="E11" s="48"/>
      <c r="F11" s="48">
        <v>1</v>
      </c>
      <c r="G11" s="48">
        <v>3</v>
      </c>
      <c r="H11" s="48">
        <v>3</v>
      </c>
      <c r="I11" s="48"/>
      <c r="J11" s="48"/>
      <c r="K11" s="48">
        <v>2</v>
      </c>
      <c r="L11" s="48"/>
      <c r="M11" s="48"/>
      <c r="N11" s="48">
        <v>9</v>
      </c>
    </row>
    <row r="12" spans="1:14" x14ac:dyDescent="0.2">
      <c r="A12" s="47" t="s">
        <v>86</v>
      </c>
      <c r="B12" s="48">
        <v>12</v>
      </c>
      <c r="C12" s="48">
        <v>11</v>
      </c>
      <c r="D12" s="48">
        <v>8</v>
      </c>
      <c r="E12" s="48">
        <v>21</v>
      </c>
      <c r="F12" s="48">
        <v>36</v>
      </c>
      <c r="G12" s="48">
        <v>27</v>
      </c>
      <c r="H12" s="48">
        <v>16</v>
      </c>
      <c r="I12" s="48">
        <v>13</v>
      </c>
      <c r="J12" s="48">
        <v>5</v>
      </c>
      <c r="K12" s="48">
        <v>5</v>
      </c>
      <c r="L12" s="48">
        <v>9</v>
      </c>
      <c r="M12" s="48">
        <v>6</v>
      </c>
      <c r="N12" s="48">
        <v>169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N63"/>
  <sheetViews>
    <sheetView showGridLines="0" zoomScaleNormal="100" workbookViewId="0">
      <selection activeCell="F39" sqref="F39"/>
    </sheetView>
  </sheetViews>
  <sheetFormatPr defaultColWidth="13.85546875" defaultRowHeight="12.75" customHeight="1" x14ac:dyDescent="0.2"/>
  <sheetData>
    <row r="1" spans="1:14" ht="18.75" thickBot="1" x14ac:dyDescent="0.3">
      <c r="A1" s="31" t="s">
        <v>13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12.75" customHeight="1" thickTop="1" x14ac:dyDescent="0.2"/>
    <row r="3" spans="1:14" ht="12.75" customHeight="1" x14ac:dyDescent="0.2">
      <c r="A3" t="str">
        <f>[1]!DBName("Sales Simplicity") &amp; ""</f>
        <v>\\JASON-PC\SQLEXPRESS\CardelAB</v>
      </c>
    </row>
    <row r="5" spans="1:14" x14ac:dyDescent="0.2">
      <c r="A5" s="38" t="s">
        <v>73</v>
      </c>
      <c r="B5" s="38" t="s">
        <v>27</v>
      </c>
      <c r="C5" s="38" t="s">
        <v>74</v>
      </c>
      <c r="D5" s="38" t="s">
        <v>75</v>
      </c>
      <c r="E5" s="38" t="s">
        <v>76</v>
      </c>
    </row>
    <row r="6" spans="1:14" ht="12.75" customHeight="1" x14ac:dyDescent="0.2">
      <c r="A6">
        <v>3022</v>
      </c>
      <c r="B6" t="s">
        <v>62</v>
      </c>
      <c r="C6" t="s">
        <v>89</v>
      </c>
      <c r="D6" t="s">
        <v>78</v>
      </c>
      <c r="E6">
        <v>1</v>
      </c>
    </row>
    <row r="7" spans="1:14" ht="12.75" customHeight="1" x14ac:dyDescent="0.2">
      <c r="A7">
        <v>3022</v>
      </c>
      <c r="B7" t="s">
        <v>62</v>
      </c>
      <c r="C7" t="s">
        <v>89</v>
      </c>
      <c r="D7" t="s">
        <v>84</v>
      </c>
      <c r="E7">
        <v>2</v>
      </c>
    </row>
    <row r="8" spans="1:14" ht="12.75" customHeight="1" x14ac:dyDescent="0.2">
      <c r="A8">
        <v>3029</v>
      </c>
      <c r="B8" t="s">
        <v>56</v>
      </c>
      <c r="C8" t="s">
        <v>90</v>
      </c>
      <c r="D8" t="s">
        <v>91</v>
      </c>
      <c r="E8">
        <v>1</v>
      </c>
    </row>
    <row r="9" spans="1:14" ht="12.75" customHeight="1" x14ac:dyDescent="0.2">
      <c r="A9">
        <v>3029</v>
      </c>
      <c r="B9" t="s">
        <v>56</v>
      </c>
      <c r="C9" t="s">
        <v>89</v>
      </c>
      <c r="D9" t="s">
        <v>78</v>
      </c>
      <c r="E9">
        <v>2</v>
      </c>
    </row>
    <row r="10" spans="1:14" ht="12.75" customHeight="1" x14ac:dyDescent="0.2">
      <c r="A10">
        <v>3029</v>
      </c>
      <c r="B10" t="s">
        <v>56</v>
      </c>
      <c r="C10" t="s">
        <v>89</v>
      </c>
      <c r="D10" t="s">
        <v>91</v>
      </c>
      <c r="E10">
        <v>5</v>
      </c>
    </row>
    <row r="11" spans="1:14" ht="12.75" customHeight="1" x14ac:dyDescent="0.2">
      <c r="A11">
        <v>3029</v>
      </c>
      <c r="B11" t="s">
        <v>56</v>
      </c>
      <c r="C11" t="s">
        <v>89</v>
      </c>
      <c r="D11" t="s">
        <v>92</v>
      </c>
      <c r="E11">
        <v>1</v>
      </c>
    </row>
    <row r="12" spans="1:14" ht="12.75" customHeight="1" x14ac:dyDescent="0.2">
      <c r="A12">
        <v>3029</v>
      </c>
      <c r="B12" t="s">
        <v>56</v>
      </c>
      <c r="C12" t="s">
        <v>89</v>
      </c>
      <c r="D12" t="s">
        <v>79</v>
      </c>
      <c r="E12">
        <v>4</v>
      </c>
    </row>
    <row r="13" spans="1:14" ht="12.75" customHeight="1" x14ac:dyDescent="0.2">
      <c r="A13">
        <v>3029</v>
      </c>
      <c r="B13" t="s">
        <v>56</v>
      </c>
      <c r="C13" t="s">
        <v>89</v>
      </c>
      <c r="D13" t="s">
        <v>80</v>
      </c>
      <c r="E13">
        <v>7</v>
      </c>
    </row>
    <row r="14" spans="1:14" ht="12.75" customHeight="1" x14ac:dyDescent="0.2">
      <c r="A14">
        <v>3029</v>
      </c>
      <c r="B14" t="s">
        <v>56</v>
      </c>
      <c r="C14" t="s">
        <v>89</v>
      </c>
      <c r="D14" t="s">
        <v>81</v>
      </c>
      <c r="E14">
        <v>3</v>
      </c>
    </row>
    <row r="15" spans="1:14" ht="12.75" customHeight="1" x14ac:dyDescent="0.2">
      <c r="A15">
        <v>3029</v>
      </c>
      <c r="B15" t="s">
        <v>56</v>
      </c>
      <c r="C15" t="s">
        <v>89</v>
      </c>
      <c r="D15" t="s">
        <v>82</v>
      </c>
      <c r="E15">
        <v>4</v>
      </c>
    </row>
    <row r="16" spans="1:14" ht="12.75" customHeight="1" x14ac:dyDescent="0.2">
      <c r="A16">
        <v>3029</v>
      </c>
      <c r="B16" t="s">
        <v>56</v>
      </c>
      <c r="C16" t="s">
        <v>89</v>
      </c>
      <c r="D16" t="s">
        <v>83</v>
      </c>
      <c r="E16">
        <v>2</v>
      </c>
    </row>
    <row r="17" spans="1:5" ht="12.75" customHeight="1" x14ac:dyDescent="0.2">
      <c r="A17">
        <v>3029</v>
      </c>
      <c r="B17" t="s">
        <v>56</v>
      </c>
      <c r="C17" t="s">
        <v>89</v>
      </c>
      <c r="D17" t="s">
        <v>84</v>
      </c>
      <c r="E17">
        <v>6</v>
      </c>
    </row>
    <row r="18" spans="1:5" ht="12.75" customHeight="1" x14ac:dyDescent="0.2">
      <c r="A18">
        <v>3029</v>
      </c>
      <c r="B18" t="s">
        <v>56</v>
      </c>
      <c r="C18" t="s">
        <v>89</v>
      </c>
      <c r="D18" t="s">
        <v>93</v>
      </c>
      <c r="E18">
        <v>1</v>
      </c>
    </row>
    <row r="19" spans="1:5" ht="12.75" customHeight="1" x14ac:dyDescent="0.2">
      <c r="A19">
        <v>3029</v>
      </c>
      <c r="B19" t="s">
        <v>56</v>
      </c>
      <c r="C19" t="s">
        <v>89</v>
      </c>
      <c r="D19" t="s">
        <v>94</v>
      </c>
      <c r="E19">
        <v>1</v>
      </c>
    </row>
    <row r="20" spans="1:5" ht="12.75" customHeight="1" x14ac:dyDescent="0.2">
      <c r="A20">
        <v>3105</v>
      </c>
      <c r="B20" t="s">
        <v>43</v>
      </c>
      <c r="C20" t="s">
        <v>95</v>
      </c>
      <c r="D20" t="s">
        <v>84</v>
      </c>
      <c r="E20">
        <v>2</v>
      </c>
    </row>
    <row r="21" spans="1:5" ht="12.75" customHeight="1" x14ac:dyDescent="0.2">
      <c r="A21">
        <v>3105</v>
      </c>
      <c r="B21" t="s">
        <v>43</v>
      </c>
      <c r="C21" t="s">
        <v>96</v>
      </c>
      <c r="D21" t="s">
        <v>83</v>
      </c>
      <c r="E21">
        <v>1</v>
      </c>
    </row>
    <row r="22" spans="1:5" ht="12.75" customHeight="1" x14ac:dyDescent="0.2">
      <c r="A22">
        <v>4249</v>
      </c>
      <c r="B22" t="s">
        <v>51</v>
      </c>
      <c r="C22" t="s">
        <v>77</v>
      </c>
      <c r="D22" t="s">
        <v>78</v>
      </c>
      <c r="E22">
        <v>1</v>
      </c>
    </row>
    <row r="23" spans="1:5" ht="12.75" customHeight="1" x14ac:dyDescent="0.2">
      <c r="A23">
        <v>4249</v>
      </c>
      <c r="B23" t="s">
        <v>51</v>
      </c>
      <c r="C23" t="s">
        <v>77</v>
      </c>
      <c r="D23" t="s">
        <v>79</v>
      </c>
      <c r="E23">
        <v>3</v>
      </c>
    </row>
    <row r="24" spans="1:5" ht="12.75" customHeight="1" x14ac:dyDescent="0.2">
      <c r="A24">
        <v>4249</v>
      </c>
      <c r="B24" t="s">
        <v>51</v>
      </c>
      <c r="C24" t="s">
        <v>77</v>
      </c>
      <c r="D24" t="s">
        <v>80</v>
      </c>
      <c r="E24">
        <v>1</v>
      </c>
    </row>
    <row r="25" spans="1:5" ht="12.75" customHeight="1" x14ac:dyDescent="0.2">
      <c r="A25">
        <v>4249</v>
      </c>
      <c r="B25" t="s">
        <v>51</v>
      </c>
      <c r="C25" t="s">
        <v>77</v>
      </c>
      <c r="D25" t="s">
        <v>81</v>
      </c>
      <c r="E25">
        <v>1</v>
      </c>
    </row>
    <row r="26" spans="1:5" ht="12.75" customHeight="1" x14ac:dyDescent="0.2">
      <c r="A26">
        <v>4249</v>
      </c>
      <c r="B26" t="s">
        <v>51</v>
      </c>
      <c r="C26" t="s">
        <v>77</v>
      </c>
      <c r="D26" t="s">
        <v>82</v>
      </c>
      <c r="E26">
        <v>1</v>
      </c>
    </row>
    <row r="27" spans="1:5" ht="12.75" customHeight="1" x14ac:dyDescent="0.2">
      <c r="A27">
        <v>4249</v>
      </c>
      <c r="B27" t="s">
        <v>51</v>
      </c>
      <c r="C27" t="s">
        <v>77</v>
      </c>
      <c r="D27" t="s">
        <v>83</v>
      </c>
      <c r="E27">
        <v>2</v>
      </c>
    </row>
    <row r="28" spans="1:5" ht="12.75" customHeight="1" x14ac:dyDescent="0.2">
      <c r="A28">
        <v>4249</v>
      </c>
      <c r="B28" t="s">
        <v>51</v>
      </c>
      <c r="C28" t="s">
        <v>77</v>
      </c>
      <c r="D28" t="s">
        <v>84</v>
      </c>
      <c r="E28">
        <v>1</v>
      </c>
    </row>
    <row r="29" spans="1:5" ht="12.75" customHeight="1" x14ac:dyDescent="0.2">
      <c r="A29">
        <v>5552</v>
      </c>
      <c r="B29" t="s">
        <v>58</v>
      </c>
      <c r="C29" t="s">
        <v>89</v>
      </c>
      <c r="D29" t="s">
        <v>78</v>
      </c>
      <c r="E29">
        <v>1</v>
      </c>
    </row>
    <row r="30" spans="1:5" ht="12.75" customHeight="1" x14ac:dyDescent="0.2">
      <c r="A30">
        <v>5552</v>
      </c>
      <c r="B30" t="s">
        <v>58</v>
      </c>
      <c r="C30" t="s">
        <v>89</v>
      </c>
      <c r="D30" t="s">
        <v>81</v>
      </c>
      <c r="E30">
        <v>1</v>
      </c>
    </row>
    <row r="31" spans="1:5" ht="12.75" customHeight="1" x14ac:dyDescent="0.2">
      <c r="A31">
        <v>5552</v>
      </c>
      <c r="B31" t="s">
        <v>58</v>
      </c>
      <c r="C31" t="s">
        <v>89</v>
      </c>
      <c r="D31" t="s">
        <v>83</v>
      </c>
      <c r="E31">
        <v>1</v>
      </c>
    </row>
    <row r="32" spans="1:5" ht="12.75" customHeight="1" x14ac:dyDescent="0.2">
      <c r="A32">
        <v>5552</v>
      </c>
      <c r="B32" t="s">
        <v>58</v>
      </c>
      <c r="C32" t="s">
        <v>89</v>
      </c>
      <c r="D32" t="s">
        <v>84</v>
      </c>
      <c r="E32">
        <v>1</v>
      </c>
    </row>
    <row r="33" spans="1:5" ht="12.75" customHeight="1" x14ac:dyDescent="0.2">
      <c r="A33">
        <v>6077</v>
      </c>
      <c r="B33" t="s">
        <v>57</v>
      </c>
      <c r="C33" t="s">
        <v>97</v>
      </c>
      <c r="D33" t="s">
        <v>78</v>
      </c>
      <c r="E33">
        <v>3</v>
      </c>
    </row>
    <row r="34" spans="1:5" ht="12.75" customHeight="1" x14ac:dyDescent="0.2">
      <c r="A34">
        <v>6077</v>
      </c>
      <c r="B34" t="s">
        <v>57</v>
      </c>
      <c r="C34" t="s">
        <v>97</v>
      </c>
      <c r="D34" t="s">
        <v>92</v>
      </c>
      <c r="E34">
        <v>1</v>
      </c>
    </row>
    <row r="35" spans="1:5" ht="12.75" customHeight="1" x14ac:dyDescent="0.2">
      <c r="A35">
        <v>6077</v>
      </c>
      <c r="B35" t="s">
        <v>57</v>
      </c>
      <c r="C35" t="s">
        <v>97</v>
      </c>
      <c r="D35" t="s">
        <v>79</v>
      </c>
      <c r="E35">
        <v>4</v>
      </c>
    </row>
    <row r="36" spans="1:5" ht="12.75" customHeight="1" x14ac:dyDescent="0.2">
      <c r="A36">
        <v>6077</v>
      </c>
      <c r="B36" t="s">
        <v>57</v>
      </c>
      <c r="C36" t="s">
        <v>97</v>
      </c>
      <c r="D36" t="s">
        <v>80</v>
      </c>
      <c r="E36">
        <v>2</v>
      </c>
    </row>
    <row r="37" spans="1:5" ht="12.75" customHeight="1" x14ac:dyDescent="0.2">
      <c r="A37">
        <v>6077</v>
      </c>
      <c r="B37" t="s">
        <v>57</v>
      </c>
      <c r="C37" t="s">
        <v>97</v>
      </c>
      <c r="D37" t="s">
        <v>81</v>
      </c>
      <c r="E37">
        <v>3</v>
      </c>
    </row>
    <row r="38" spans="1:5" ht="12.75" customHeight="1" x14ac:dyDescent="0.2">
      <c r="A38">
        <v>6077</v>
      </c>
      <c r="B38" t="s">
        <v>57</v>
      </c>
      <c r="C38" t="s">
        <v>97</v>
      </c>
      <c r="D38" t="s">
        <v>82</v>
      </c>
      <c r="E38">
        <v>6</v>
      </c>
    </row>
    <row r="39" spans="1:5" ht="12.75" customHeight="1" x14ac:dyDescent="0.2">
      <c r="A39">
        <v>6077</v>
      </c>
      <c r="B39" t="s">
        <v>57</v>
      </c>
      <c r="C39" t="s">
        <v>97</v>
      </c>
      <c r="D39" t="s">
        <v>83</v>
      </c>
      <c r="E39">
        <v>1</v>
      </c>
    </row>
    <row r="40" spans="1:5" ht="12.75" customHeight="1" x14ac:dyDescent="0.2">
      <c r="A40">
        <v>6077</v>
      </c>
      <c r="B40" t="s">
        <v>57</v>
      </c>
      <c r="C40" t="s">
        <v>97</v>
      </c>
      <c r="D40" t="s">
        <v>84</v>
      </c>
      <c r="E40">
        <v>7</v>
      </c>
    </row>
    <row r="41" spans="1:5" ht="12.75" customHeight="1" x14ac:dyDescent="0.2">
      <c r="A41">
        <v>6077</v>
      </c>
      <c r="B41" t="s">
        <v>57</v>
      </c>
      <c r="C41" t="s">
        <v>97</v>
      </c>
      <c r="D41" t="s">
        <v>93</v>
      </c>
      <c r="E41">
        <v>2</v>
      </c>
    </row>
    <row r="42" spans="1:5" ht="12.75" customHeight="1" x14ac:dyDescent="0.2">
      <c r="A42">
        <v>6077</v>
      </c>
      <c r="B42" t="s">
        <v>57</v>
      </c>
      <c r="C42" t="s">
        <v>97</v>
      </c>
      <c r="D42" t="s">
        <v>98</v>
      </c>
      <c r="E42">
        <v>3</v>
      </c>
    </row>
    <row r="43" spans="1:5" ht="12.75" customHeight="1" x14ac:dyDescent="0.2">
      <c r="A43">
        <v>6077</v>
      </c>
      <c r="B43" t="s">
        <v>57</v>
      </c>
      <c r="C43" t="s">
        <v>97</v>
      </c>
      <c r="D43" t="s">
        <v>94</v>
      </c>
      <c r="E43">
        <v>2</v>
      </c>
    </row>
    <row r="44" spans="1:5" ht="12.75" customHeight="1" x14ac:dyDescent="0.2">
      <c r="A44">
        <v>6108</v>
      </c>
      <c r="B44" t="s">
        <v>50</v>
      </c>
      <c r="C44" t="s">
        <v>99</v>
      </c>
      <c r="D44" t="s">
        <v>91</v>
      </c>
      <c r="E44">
        <v>1</v>
      </c>
    </row>
    <row r="45" spans="1:5" ht="12.75" customHeight="1" x14ac:dyDescent="0.2">
      <c r="A45">
        <v>6108</v>
      </c>
      <c r="B45" t="s">
        <v>50</v>
      </c>
      <c r="C45" t="s">
        <v>99</v>
      </c>
      <c r="D45" t="s">
        <v>92</v>
      </c>
      <c r="E45">
        <v>3</v>
      </c>
    </row>
    <row r="46" spans="1:5" ht="12.75" customHeight="1" x14ac:dyDescent="0.2">
      <c r="A46">
        <v>6108</v>
      </c>
      <c r="B46" t="s">
        <v>50</v>
      </c>
      <c r="C46" t="s">
        <v>99</v>
      </c>
      <c r="D46" t="s">
        <v>80</v>
      </c>
      <c r="E46">
        <v>2</v>
      </c>
    </row>
    <row r="47" spans="1:5" ht="12.75" customHeight="1" x14ac:dyDescent="0.2">
      <c r="A47">
        <v>6108</v>
      </c>
      <c r="B47" t="s">
        <v>50</v>
      </c>
      <c r="C47" t="s">
        <v>99</v>
      </c>
      <c r="D47" t="s">
        <v>81</v>
      </c>
      <c r="E47">
        <v>3</v>
      </c>
    </row>
    <row r="48" spans="1:5" ht="12.75" customHeight="1" x14ac:dyDescent="0.2">
      <c r="A48">
        <v>6108</v>
      </c>
      <c r="B48" t="s">
        <v>50</v>
      </c>
      <c r="C48" t="s">
        <v>99</v>
      </c>
      <c r="D48" t="s">
        <v>82</v>
      </c>
      <c r="E48">
        <v>4</v>
      </c>
    </row>
    <row r="49" spans="1:5" ht="12.75" customHeight="1" x14ac:dyDescent="0.2">
      <c r="A49">
        <v>6108</v>
      </c>
      <c r="B49" t="s">
        <v>50</v>
      </c>
      <c r="C49" t="s">
        <v>99</v>
      </c>
      <c r="D49" t="s">
        <v>83</v>
      </c>
      <c r="E49">
        <v>1</v>
      </c>
    </row>
    <row r="50" spans="1:5" ht="12.75" customHeight="1" x14ac:dyDescent="0.2">
      <c r="A50">
        <v>6108</v>
      </c>
      <c r="B50" t="s">
        <v>50</v>
      </c>
      <c r="C50" t="s">
        <v>99</v>
      </c>
      <c r="D50" t="s">
        <v>84</v>
      </c>
      <c r="E50">
        <v>4</v>
      </c>
    </row>
    <row r="51" spans="1:5" ht="12.75" customHeight="1" x14ac:dyDescent="0.2">
      <c r="A51">
        <v>6108</v>
      </c>
      <c r="B51" t="s">
        <v>50</v>
      </c>
      <c r="C51" t="s">
        <v>99</v>
      </c>
      <c r="D51" t="s">
        <v>98</v>
      </c>
      <c r="E51">
        <v>2</v>
      </c>
    </row>
    <row r="52" spans="1:5" ht="12.75" customHeight="1" x14ac:dyDescent="0.2">
      <c r="A52">
        <v>6108</v>
      </c>
      <c r="B52" t="s">
        <v>50</v>
      </c>
      <c r="C52" t="s">
        <v>99</v>
      </c>
      <c r="D52" t="s">
        <v>94</v>
      </c>
      <c r="E52">
        <v>2</v>
      </c>
    </row>
    <row r="53" spans="1:5" ht="12.75" customHeight="1" x14ac:dyDescent="0.2">
      <c r="A53">
        <v>6147</v>
      </c>
      <c r="B53" t="s">
        <v>49</v>
      </c>
      <c r="C53" t="s">
        <v>99</v>
      </c>
      <c r="D53" t="s">
        <v>78</v>
      </c>
      <c r="E53">
        <v>13</v>
      </c>
    </row>
    <row r="54" spans="1:5" ht="12.75" customHeight="1" x14ac:dyDescent="0.2">
      <c r="A54">
        <v>6147</v>
      </c>
      <c r="B54" t="s">
        <v>49</v>
      </c>
      <c r="C54" t="s">
        <v>99</v>
      </c>
      <c r="D54" t="s">
        <v>91</v>
      </c>
      <c r="E54">
        <v>6</v>
      </c>
    </row>
    <row r="55" spans="1:5" ht="12.75" customHeight="1" x14ac:dyDescent="0.2">
      <c r="A55">
        <v>6147</v>
      </c>
      <c r="B55" t="s">
        <v>49</v>
      </c>
      <c r="C55" t="s">
        <v>99</v>
      </c>
      <c r="D55" t="s">
        <v>81</v>
      </c>
      <c r="E55">
        <v>2</v>
      </c>
    </row>
    <row r="56" spans="1:5" ht="12.75" customHeight="1" x14ac:dyDescent="0.2">
      <c r="A56">
        <v>6147</v>
      </c>
      <c r="B56" t="s">
        <v>49</v>
      </c>
      <c r="C56" t="s">
        <v>99</v>
      </c>
      <c r="D56" t="s">
        <v>82</v>
      </c>
      <c r="E56">
        <v>9</v>
      </c>
    </row>
    <row r="57" spans="1:5" ht="12.75" customHeight="1" x14ac:dyDescent="0.2">
      <c r="A57">
        <v>6147</v>
      </c>
      <c r="B57" t="s">
        <v>49</v>
      </c>
      <c r="C57" t="s">
        <v>99</v>
      </c>
      <c r="D57" t="s">
        <v>84</v>
      </c>
      <c r="E57">
        <v>12</v>
      </c>
    </row>
    <row r="58" spans="1:5" ht="12.75" customHeight="1" x14ac:dyDescent="0.2">
      <c r="A58">
        <v>6147</v>
      </c>
      <c r="B58" t="s">
        <v>49</v>
      </c>
      <c r="C58" t="s">
        <v>99</v>
      </c>
      <c r="D58" t="s">
        <v>98</v>
      </c>
      <c r="E58">
        <v>1</v>
      </c>
    </row>
    <row r="59" spans="1:5" ht="12.75" customHeight="1" x14ac:dyDescent="0.2">
      <c r="A59">
        <v>6147</v>
      </c>
      <c r="B59" t="s">
        <v>49</v>
      </c>
      <c r="C59" t="s">
        <v>99</v>
      </c>
      <c r="D59" t="s">
        <v>94</v>
      </c>
      <c r="E59">
        <v>4</v>
      </c>
    </row>
    <row r="60" spans="1:5" ht="12.75" customHeight="1" x14ac:dyDescent="0.2">
      <c r="A60">
        <v>6333</v>
      </c>
      <c r="B60" t="s">
        <v>52</v>
      </c>
      <c r="C60" t="s">
        <v>77</v>
      </c>
      <c r="D60" t="s">
        <v>81</v>
      </c>
      <c r="E60">
        <v>3</v>
      </c>
    </row>
    <row r="61" spans="1:5" ht="12.75" customHeight="1" x14ac:dyDescent="0.2">
      <c r="A61">
        <v>6333</v>
      </c>
      <c r="B61" t="s">
        <v>52</v>
      </c>
      <c r="C61" t="s">
        <v>77</v>
      </c>
      <c r="D61" t="s">
        <v>82</v>
      </c>
      <c r="E61">
        <v>3</v>
      </c>
    </row>
    <row r="62" spans="1:5" ht="12.75" customHeight="1" x14ac:dyDescent="0.2">
      <c r="A62">
        <v>6333</v>
      </c>
      <c r="B62" t="s">
        <v>52</v>
      </c>
      <c r="C62" t="s">
        <v>77</v>
      </c>
      <c r="D62" t="s">
        <v>84</v>
      </c>
      <c r="E62">
        <v>1</v>
      </c>
    </row>
    <row r="63" spans="1:5" ht="12.75" customHeight="1" x14ac:dyDescent="0.2">
      <c r="A63">
        <v>6333</v>
      </c>
      <c r="B63" t="s">
        <v>52</v>
      </c>
      <c r="C63" t="s">
        <v>77</v>
      </c>
      <c r="D63" t="s">
        <v>93</v>
      </c>
      <c r="E63">
        <v>2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21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44" t="s">
        <v>25</v>
      </c>
      <c r="C2" s="45"/>
      <c r="D2" s="45"/>
      <c r="E2" s="45"/>
      <c r="F2" s="45"/>
      <c r="G2" s="45"/>
      <c r="H2" s="45"/>
      <c r="I2" s="45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2" t="s">
        <v>14</v>
      </c>
      <c r="B2" s="28" t="s">
        <v>16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Information</vt:lpstr>
      <vt:lpstr>Admin</vt:lpstr>
      <vt:lpstr>Dashboard</vt:lpstr>
      <vt:lpstr>ReportData</vt:lpstr>
      <vt:lpstr>Sample Values</vt:lpstr>
      <vt:lpstr>SQL</vt:lpstr>
      <vt:lpstr>MacroNotice</vt:lpstr>
      <vt:lpstr>MacroStatus</vt:lpstr>
      <vt:lpstr>Admin!Print_Area</vt:lpstr>
      <vt:lpstr>ReportData!Print_Titles</vt:lpstr>
      <vt:lpstr>Admin!qryDivision</vt:lpstr>
      <vt:lpstr>Admin!qrySubdivision1</vt:lpstr>
      <vt:lpstr>ReportData!qrySubdivision2</vt:lpstr>
      <vt:lpstr>RevisionDate</vt:lpstr>
      <vt:lpstr>RevisionNumber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2017-07-31T23:04:51Z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Version">
    <vt:lpwstr>Version 1.00.0073</vt:lpwstr>
  </property>
</Properties>
</file>