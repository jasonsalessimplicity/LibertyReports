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ason\Liberty Standards\Sales Simplicity\"/>
    </mc:Choice>
  </mc:AlternateContent>
  <bookViews>
    <workbookView xWindow="0" yWindow="135" windowWidth="15135" windowHeight="7365" activeTab="1"/>
  </bookViews>
  <sheets>
    <sheet name="Information" sheetId="4" r:id="rId1"/>
    <sheet name="Admin" sheetId="10" r:id="rId2"/>
    <sheet name="Dashboard" sheetId="20" r:id="rId3"/>
    <sheet name="SoldPlansData" sheetId="14" r:id="rId4"/>
    <sheet name="Sample Values" sheetId="5" r:id="rId5"/>
    <sheet name="ColumnLists" sheetId="6" state="veryHidden" r:id="rId6"/>
    <sheet name="SQL" sheetId="18" r:id="rId7"/>
    <sheet name="Cache" sheetId="19" state="veryHidden" r:id="rId8"/>
  </sheets>
  <functionGroups builtInGroupCount="18"/>
  <externalReferences>
    <externalReference r:id="rId9"/>
  </externalReferences>
  <definedNames>
    <definedName name="_xlnm._FilterDatabase" localSheetId="3" hidden="1">SoldPlansData!$V$1:$V$135</definedName>
    <definedName name="Disclaimer">Information!#REF!</definedName>
    <definedName name="IsExample">TRUE</definedName>
    <definedName name="MacroNotice">Information!$D$11</definedName>
    <definedName name="MacroStatus">Information!$D$10</definedName>
    <definedName name="_xlnm.Print_Area" localSheetId="1">Admin!$B$1:$G$3</definedName>
    <definedName name="_xlnm.Print_Titles" localSheetId="3">SoldPlansData!$1:$7</definedName>
    <definedName name="qryDivision" localSheetId="1">Admin!$Q$1:$R$8</definedName>
    <definedName name="qryDivision1" localSheetId="3">SoldPlansData!$A$8:$L$70</definedName>
    <definedName name="qrySubdivision" localSheetId="1">Admin!$S$1:$S$35</definedName>
    <definedName name="RevisionDate">Information!$D$45</definedName>
    <definedName name="RevisionNumber">Information!$D$44</definedName>
    <definedName name="TemplateName">Information!$D$2</definedName>
  </definedNames>
  <calcPr calcId="171027"/>
  <pivotCaches>
    <pivotCache cacheId="0" r:id="rId10"/>
  </pivotCaches>
</workbook>
</file>

<file path=xl/calcChain.xml><?xml version="1.0" encoding="utf-8"?>
<calcChain xmlns="http://schemas.openxmlformats.org/spreadsheetml/2006/main">
  <c r="A3" i="14" l="1"/>
</calcChain>
</file>

<file path=xl/connections.xml><?xml version="1.0" encoding="utf-8"?>
<connections xmlns="http://schemas.openxmlformats.org/spreadsheetml/2006/main">
  <connection id="1" name="Connection" type="1" refreshedVersion="6" background="1" saveData="1">
    <dbPr connection="LR:Sales Simplicity" command="SELECT DISTINCT _x000d__x000a_  [DivisionNum] AS [Division Number], _x000d__x000a_  [Name] AS [Name]_x000d__x000a__x000d__x000a_FROM _x000d__x000a_  [dbo].[vutbDivision]_x000d__x000a__x000d__x000a_ORDER BY _x000d__x000a_  [Name]_x000d__x000a__x000d__x000a_"/>
  </connection>
  <connection id="2" name="Connection1" type="1" refreshedVersion="6" saveData="1">
    <dbPr connection="LR:Sales Simplicity" command="SELECT _x000d__x000a_  [dbo].[vutbSubdivision].[MarketingName] AS [Marketing Name]_x000d__x000a__x000d__x000a_FROM _x000d__x000a_  [dbo].[vutbSubdivision]_x000d__x000a_  LEFT OUTER JOIN [dbo].[vutbDivision] ON [dbo].[vutbSubdivision].[DivisionID] = [dbo].[vutbDivision].[ID]_x000d__x000a__x000d__x000a_WHERE [dbo].[vutbdivision].[Name]=?_x000d__x000a__x000d__x000a_ORDER BY _x000d__x000a_  [dbo].[vutbSubdivision].[MarketingName]_x000d__x000a__x000d__x000a_"/>
    <parameters count="1">
      <parameter name="Parameter1" parameterType="cell" refreshOnChange="1" cell="Admin!$C$5"/>
    </parameters>
  </connection>
  <connection id="3" name="Connection2" type="1" refreshedVersion="6" saveData="1">
    <dbPr connection="LR:Sales Simplicity" command="select _x000d__x000a_Division.ID as DivisionID,_x000d__x000a_Division.Name as Division,_x000d__x000a_Subdivision.ID as SubdivisionID,_x000d__x000a_Subdivision.MarketingName as Subdivision,_x000d__x000a_Masterplan.MarketingName as MasterPlan,_x000d__x000a_PhasePlan.MarketingName as PhasePlan,_x000d__x000a_Phaseplan.PhasePlanCost as PlanCost,_x000d__x000a_PhasePlan.PhasePlanPrice as PlanPrice,_x000d__x000a_PhasePlan.ID as PhasePlanID,_x000d__x000a_Ind.FirstName +' '+Ind.LastName as Buyer,_x000d__x000a_Usr.FirstName +' ' +Usr.LastName as UsrName,_x000d__x000a_Client.ApprovalDate as SoldDate_x000d__x000a__x000d__x000a_From _x000d__x000a_vutbPhasePlan PhasePlan_x000d__x000a_join vutbLot Lot on Lot.PhasePlanID = Phaseplan.ID_x000d__x000a_join vutbClient Client on Client.LotID = Lot.ID_x000d__x000a_join vutbMember member on member.ClientID = Client.ID_x000d__x000a__x0009_and member.MemberTypeID = 1 _x000d__x000a_join vutbIndividual Ind on Ind.ID = Member.IndividualID_x000d__x000a_join vutbSubdivision Subdivision on Subdivision.ID = Client.SubdivisionID_x000d__x000a_join vutbDivision Division on Division.ID = Subdivision.DivisionID_x000d__x000a_join vutbUser Usr on Usr.ID = Client.UserID_x000d__x000a_join vutbMasterPlan MasterPlan on Masterplan.ID = Phaseplan.MasterPlanID_x000d__x000a__x000d__x000a_where PhasePlan.Active = 1_x000d__x000a_and Client.ApprovalDate &gt;= ?_x000d__x000a_and Client.ApprovalDate &lt;= ?_x000d__x000a__x000d__x000a_Order by SoldDate asc_x000d__x000a_"/>
    <parameters count="2">
      <parameter name="Parameter1" parameterType="cell" refreshOnChange="1" cell="Admin!$C$11"/>
      <parameter name="Parameter2" parameterType="cell" refreshOnChange="1" cell="Admin!$C$13"/>
    </parameters>
  </connection>
</connections>
</file>

<file path=xl/sharedStrings.xml><?xml version="1.0" encoding="utf-8"?>
<sst xmlns="http://schemas.openxmlformats.org/spreadsheetml/2006/main" count="514" uniqueCount="196">
  <si>
    <t>Purpose</t>
  </si>
  <si>
    <t>About the Design</t>
  </si>
  <si>
    <t>Requirements</t>
  </si>
  <si>
    <t>Revision Number</t>
  </si>
  <si>
    <t>Parameter Values</t>
  </si>
  <si>
    <t>Report Parameters</t>
  </si>
  <si>
    <t>Before You Start</t>
  </si>
  <si>
    <t>http://kb.event1software.com/questions/45</t>
  </si>
  <si>
    <t>Worksheet Name</t>
  </si>
  <si>
    <t>sqlStatementName</t>
  </si>
  <si>
    <t>SQL TEXT</t>
  </si>
  <si>
    <t>Provide technical details about the report design that may be important to anyone who wishes to understand or modify the report.</t>
  </si>
  <si>
    <t>Report Name</t>
  </si>
  <si>
    <t>Report Title</t>
  </si>
  <si>
    <t>i</t>
  </si>
  <si>
    <t>Using This Report</t>
  </si>
  <si>
    <t>Use this worksheet to record any SQL text that you intend to use with Liberty Reports worksheet functions.</t>
  </si>
  <si>
    <r>
      <rPr>
        <sz val="10"/>
        <color indexed="8"/>
        <rFont val="Webdings"/>
        <family val="1"/>
        <charset val="2"/>
      </rPr>
      <t xml:space="preserve">i </t>
    </r>
    <r>
      <rPr>
        <sz val="10"/>
        <color indexed="8"/>
        <rFont val="Arial"/>
        <family val="2"/>
      </rPr>
      <t>It is not requried that you start new report designs using this template.  The purpose of this template is to provide a starting point that includes a basic structure, a connection alias and predefined styles.  Replace this paragraph with one that explains the purpose and general features of your report.</t>
    </r>
  </si>
  <si>
    <t>Use the predefined styles to quickly apply formatting for headings, column captions, data entry cells, and totals.</t>
  </si>
  <si>
    <r>
      <t xml:space="preserve">Type an enumerated list of the steps to use this report.
</t>
    </r>
    <r>
      <rPr>
        <b/>
        <sz val="10"/>
        <color indexed="8"/>
        <rFont val="Arial"/>
        <family val="2"/>
      </rPr>
      <t>Not sure where to start?</t>
    </r>
    <r>
      <rPr>
        <sz val="10"/>
        <color indexed="8"/>
        <rFont val="Arial"/>
        <family val="2"/>
      </rPr>
      <t xml:space="preserve">  Use the sample data database and values identified on the  "Sample Values" worksheet.</t>
    </r>
  </si>
  <si>
    <t>Macros are presently enabled</t>
  </si>
  <si>
    <t>Some of the functionality of this workbook is provided by Excel macros.  To learn more about macro security, click th following link.</t>
  </si>
  <si>
    <t>01.0000</t>
  </si>
  <si>
    <t>(New Report).xltm</t>
  </si>
  <si>
    <t>ü Event 1 Liberty Reports for Sales Simplicity</t>
  </si>
  <si>
    <t>ü Connection to a SQL Server containing Sales Simplicity database</t>
  </si>
  <si>
    <t>Create your report design here.  Use the Connection named "Sales Simplicity" when defining your queries and worksheet functions.</t>
  </si>
  <si>
    <t>Try this template using the sample database and the following values:</t>
  </si>
  <si>
    <t>Division Number</t>
  </si>
  <si>
    <t>Name</t>
  </si>
  <si>
    <t>D1</t>
  </si>
  <si>
    <t>Calgary</t>
  </si>
  <si>
    <t>EV1</t>
  </si>
  <si>
    <t>Events</t>
  </si>
  <si>
    <t>G1</t>
  </si>
  <si>
    <t>General Registration</t>
  </si>
  <si>
    <t>M1</t>
  </si>
  <si>
    <t>Main</t>
  </si>
  <si>
    <t>R1</t>
  </si>
  <si>
    <t>Realtors</t>
  </si>
  <si>
    <t>|SSDEL|</t>
  </si>
  <si>
    <t>SSDeleteDivision</t>
  </si>
  <si>
    <t>10000</t>
  </si>
  <si>
    <t>Training Division</t>
  </si>
  <si>
    <t>Marketing Name</t>
  </si>
  <si>
    <t>Canmore</t>
  </si>
  <si>
    <t>Edgemont</t>
  </si>
  <si>
    <t>Hanson Ridge</t>
  </si>
  <si>
    <t>Inner City</t>
  </si>
  <si>
    <t>Interior Designs</t>
  </si>
  <si>
    <t>Lake Chaparral</t>
  </si>
  <si>
    <t>Montreux</t>
  </si>
  <si>
    <t>Online Newsletter Registration</t>
  </si>
  <si>
    <t>Purcell Point</t>
  </si>
  <si>
    <t>Savanna</t>
  </si>
  <si>
    <t>Savanna Paired</t>
  </si>
  <si>
    <t>Shawnee Park</t>
  </si>
  <si>
    <t>Shawnee Park 2,5,6</t>
  </si>
  <si>
    <t>Special Projects and Office Kiosk</t>
  </si>
  <si>
    <t>Springborough</t>
  </si>
  <si>
    <t>Tuscany</t>
  </si>
  <si>
    <t>Walden</t>
  </si>
  <si>
    <t>Walden Paired</t>
  </si>
  <si>
    <t>Walden ZLL</t>
  </si>
  <si>
    <t>X - 30% of Work</t>
  </si>
  <si>
    <t>X - Auburn Bay</t>
  </si>
  <si>
    <t>X - Auburn Bay 27</t>
  </si>
  <si>
    <t>X - Chaparral Valley</t>
  </si>
  <si>
    <t>X - Cranston</t>
  </si>
  <si>
    <t>X - Evansview</t>
  </si>
  <si>
    <t>X - Evergreen</t>
  </si>
  <si>
    <t>X - McKenzie Towne</t>
  </si>
  <si>
    <t>X - New Brighton</t>
  </si>
  <si>
    <t>X - Panorama</t>
  </si>
  <si>
    <t>X - Quarry Park</t>
  </si>
  <si>
    <t>X - Reno - Basement Development</t>
  </si>
  <si>
    <t>X - Renovations</t>
  </si>
  <si>
    <t>X - Sales Pricing</t>
  </si>
  <si>
    <t>Division</t>
  </si>
  <si>
    <t>Subdivision</t>
  </si>
  <si>
    <t>From Date:</t>
  </si>
  <si>
    <t>To Date:</t>
  </si>
  <si>
    <t>DivisionID</t>
  </si>
  <si>
    <t>SubdivisionID</t>
  </si>
  <si>
    <t>MasterPlan</t>
  </si>
  <si>
    <t>PhasePlan</t>
  </si>
  <si>
    <t>PlanCost</t>
  </si>
  <si>
    <t>PlanPrice</t>
  </si>
  <si>
    <t>PhasePlanID</t>
  </si>
  <si>
    <t>Buyer</t>
  </si>
  <si>
    <t>UsrName</t>
  </si>
  <si>
    <t>SoldDate</t>
  </si>
  <si>
    <t>Tandem Bay 2</t>
  </si>
  <si>
    <t>Paul King</t>
  </si>
  <si>
    <t>Meyer</t>
  </si>
  <si>
    <t>Jon Mortier</t>
  </si>
  <si>
    <t>Essex</t>
  </si>
  <si>
    <t>Iris 1</t>
  </si>
  <si>
    <t>Tracie Sartori</t>
  </si>
  <si>
    <t>Tandem Bay</t>
  </si>
  <si>
    <t>CUSTOM HOME</t>
  </si>
  <si>
    <t>Sabal</t>
  </si>
  <si>
    <t>Tabi Lam</t>
  </si>
  <si>
    <t>Emerge</t>
  </si>
  <si>
    <t>Yorkton - Inactivated (March 1 2017)</t>
  </si>
  <si>
    <t>Indigo 1</t>
  </si>
  <si>
    <t>Essence</t>
  </si>
  <si>
    <t>Cobalt 2</t>
  </si>
  <si>
    <t>Cobalt 3</t>
  </si>
  <si>
    <t>Solstice Unit A</t>
  </si>
  <si>
    <t>Solstice Unit B</t>
  </si>
  <si>
    <t>Cobalt 1</t>
  </si>
  <si>
    <t>Sabal 2</t>
  </si>
  <si>
    <t>Sandhurst 2</t>
  </si>
  <si>
    <t>Soho 3</t>
  </si>
  <si>
    <t>Eton</t>
  </si>
  <si>
    <t>Birkhill</t>
  </si>
  <si>
    <t>Soho 1</t>
  </si>
  <si>
    <t>Aster</t>
  </si>
  <si>
    <t>Colbourne 3</t>
  </si>
  <si>
    <t>Bayview 3</t>
  </si>
  <si>
    <t>Tyler Smith</t>
  </si>
  <si>
    <t>Bristol 2</t>
  </si>
  <si>
    <t>Manuel Torres</t>
  </si>
  <si>
    <t>Ivana Milovac</t>
  </si>
  <si>
    <t>Nayan Girap</t>
  </si>
  <si>
    <t>Miles Yong Hong</t>
  </si>
  <si>
    <t>Vick Ramoowalia</t>
  </si>
  <si>
    <t>Muhammad Sajid Rafique</t>
  </si>
  <si>
    <t>Kathryn Nicole Olson</t>
  </si>
  <si>
    <t>Indigo 2</t>
  </si>
  <si>
    <t>Hyungjun (Jun) Lim</t>
  </si>
  <si>
    <t>Brian Spence</t>
  </si>
  <si>
    <t>Larch</t>
  </si>
  <si>
    <t>Jason Hargreaves</t>
  </si>
  <si>
    <t>Emma Gilchrist</t>
  </si>
  <si>
    <t>Lauren Somerton</t>
  </si>
  <si>
    <t>Taa DiGirolamo</t>
  </si>
  <si>
    <t>Steve Adjuya</t>
  </si>
  <si>
    <t>Milan Mitic</t>
  </si>
  <si>
    <t>Miro</t>
  </si>
  <si>
    <t>Patrick Quinn</t>
  </si>
  <si>
    <t>Selkirk 2</t>
  </si>
  <si>
    <t>Carla Corral Aliaga</t>
  </si>
  <si>
    <t>Tito Andrei Magistrado Fontanos</t>
  </si>
  <si>
    <t>Vincent McLean</t>
  </si>
  <si>
    <t>Szabolcs Pal</t>
  </si>
  <si>
    <t>Wency Gannaban</t>
  </si>
  <si>
    <t>Maria(Theresa) Gannaban</t>
  </si>
  <si>
    <t>Sukhman Singh Johal</t>
  </si>
  <si>
    <t>Rony Barua</t>
  </si>
  <si>
    <t>Jatinder Vir Si Toor</t>
  </si>
  <si>
    <t>Gurlal Singh Dhaliwal</t>
  </si>
  <si>
    <t>Gagandeep Singh</t>
  </si>
  <si>
    <t>Rubbeldeep Kaur Brar</t>
  </si>
  <si>
    <t>Gurdev Singh</t>
  </si>
  <si>
    <t>Hakam Singh Brar</t>
  </si>
  <si>
    <t>Imran Zahid</t>
  </si>
  <si>
    <t>Gagandeep Singh Cheema</t>
  </si>
  <si>
    <t>Kamran Murad</t>
  </si>
  <si>
    <t>Saeed Ahmad</t>
  </si>
  <si>
    <t>Karen Day</t>
  </si>
  <si>
    <t>Kristian Tzenov</t>
  </si>
  <si>
    <t>Sarah Erhabor</t>
  </si>
  <si>
    <t>Harmony</t>
  </si>
  <si>
    <t>Martin Wright</t>
  </si>
  <si>
    <t>Jared Seufert</t>
  </si>
  <si>
    <t>Laurel Wandzura</t>
  </si>
  <si>
    <t>Glen Larkin</t>
  </si>
  <si>
    <t>Sequoia</t>
  </si>
  <si>
    <t>Pin Lu</t>
  </si>
  <si>
    <t>Martin Hope</t>
  </si>
  <si>
    <t>Avneet Kaur Bath</t>
  </si>
  <si>
    <t>Michael Lariviere</t>
  </si>
  <si>
    <t>Fiona Whitlie</t>
  </si>
  <si>
    <t>Alison Heddle</t>
  </si>
  <si>
    <t>Elisabeta Loas</t>
  </si>
  <si>
    <t>Fairfield Court</t>
  </si>
  <si>
    <t>Joshua Axelson</t>
  </si>
  <si>
    <t>Xuejin Guo</t>
  </si>
  <si>
    <t>Jetinder Singh Bath</t>
  </si>
  <si>
    <t>Ifeola Adeoye</t>
  </si>
  <si>
    <t>Olugbenga Emmanuel Adebayo</t>
  </si>
  <si>
    <t>Damu Gopalkrishna Murti</t>
  </si>
  <si>
    <t>Cristian Doljescu</t>
  </si>
  <si>
    <t>Kelly Cowan</t>
  </si>
  <si>
    <t>Kristos Iatridis</t>
  </si>
  <si>
    <t>Jia Qiu</t>
  </si>
  <si>
    <t>Joanna Wrobel</t>
  </si>
  <si>
    <t>Essence 2</t>
  </si>
  <si>
    <t>Shirly Rosario</t>
  </si>
  <si>
    <t>Shahabuddin Noori</t>
  </si>
  <si>
    <t>Row Labels</t>
  </si>
  <si>
    <t>Grand Total</t>
  </si>
  <si>
    <t>Count of Buyer</t>
  </si>
  <si>
    <t>select 
Division.ID as DivisionID,
Division.Name as Division,
Subdivision.ID as SubdivisionID,
Subdivision.MarketingName as Subdivision,
Masterplan.MarketingName as MasterPlan,
PhasePlan.MarketingName as PhasePlan,
Phaseplan.PhasePlanCost as PlanCost,
PhasePlan.PhasePlanPrice as PlanPrice,
PhasePlan.ID as PhasePlanID,
Ind.FirstName +' '+Ind.LastName as Buyer,
Usr.FirstName +' ' +Usr.LastName as UsrName,
Client.ApprovalDate as SoldDate
From 
vutbPhasePlan PhasePlan
join vutbLot Lot on Lot.PhasePlanID = Phaseplan.ID
join vutbClient Client on Client.LotID = Lot.ID
join vutbMember member on member.ClientID = Client.ID
 and member.MemberTypeID = 1 
join vutbIndividual Ind on Ind.ID = Member.IndividualID
join vutbSubdivision Subdivision on Subdivision.ID = Client.SubdivisionID
join vutbDivision Division on Division.ID = Subdivision.DivisionID
join vutbUser Usr on Usr.ID = Client.UserID
join vutbMasterPlan MasterPlan on Masterplan.ID = Phaseplan.MasterPlanID
where PhasePlan.Active = 1
and Client.ApprovalDate &gt;= ?
and Client.ApprovalDate &lt;= ?
Order by SoldDate asc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</si>
</sst>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dddd\,\ mmmm\ dd\,\ yyyy\ \a\t\ h:mm\ AM/PM;@"/>
  </numFmts>
  <fonts count="31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1"/>
      <color indexed="12"/>
      <name val="Calibri"/>
      <family val="2"/>
    </font>
    <font>
      <sz val="8"/>
      <name val="Calibri"/>
      <family val="2"/>
    </font>
    <font>
      <u/>
      <sz val="10"/>
      <color indexed="12"/>
      <name val="Arial"/>
      <family val="2"/>
    </font>
    <font>
      <sz val="8"/>
      <name val="Garamond"/>
      <family val="1"/>
    </font>
    <font>
      <b/>
      <sz val="10"/>
      <color indexed="8"/>
      <name val="Arial"/>
      <family val="2"/>
    </font>
    <font>
      <sz val="8"/>
      <color indexed="8"/>
      <name val="Courier New"/>
      <family val="3"/>
    </font>
    <font>
      <sz val="10"/>
      <color indexed="8"/>
      <name val="Webdings"/>
      <family val="1"/>
      <charset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b/>
      <sz val="14"/>
      <color theme="3"/>
      <name val="Arial"/>
      <family val="2"/>
    </font>
    <font>
      <b/>
      <sz val="12"/>
      <color theme="3"/>
      <name val="Arial"/>
      <family val="2"/>
    </font>
    <font>
      <b/>
      <sz val="10"/>
      <color theme="3"/>
      <name val="Arial"/>
      <family val="2"/>
    </font>
    <font>
      <b/>
      <sz val="18"/>
      <color theme="3"/>
      <name val="Times New Roman"/>
      <family val="1"/>
    </font>
    <font>
      <sz val="10"/>
      <color rgb="FF0000C0"/>
      <name val="Webdings"/>
      <family val="1"/>
      <charset val="2"/>
    </font>
    <font>
      <sz val="10"/>
      <color rgb="FF0000C0"/>
      <name val="Arial"/>
      <family val="2"/>
    </font>
    <font>
      <sz val="10"/>
      <color theme="1"/>
      <name val="Webdings"/>
      <family val="1"/>
      <charset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sz val="11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  <bgColor indexed="64"/>
      </patternFill>
    </fill>
    <fill>
      <patternFill patternType="solid">
        <fgColor rgb="FFFFFFB0"/>
        <bgColor indexed="64"/>
      </patternFill>
    </fill>
    <fill>
      <patternFill patternType="solid">
        <fgColor rgb="FFFFCC99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3"/>
      </left>
      <right style="thin">
        <color indexed="10"/>
      </right>
      <top style="thin">
        <color indexed="13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9"/>
      </left>
      <right style="double">
        <color indexed="9"/>
      </right>
      <top style="double">
        <color indexed="9"/>
      </top>
      <bottom style="double">
        <color indexed="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1">
    <xf numFmtId="0" fontId="0" fillId="0" borderId="0"/>
    <xf numFmtId="0" fontId="14" fillId="0" borderId="1" applyNumberFormat="0" applyFill="0" applyAlignment="0" applyProtection="0"/>
    <xf numFmtId="0" fontId="14" fillId="0" borderId="6" applyNumberFormat="0" applyFill="0" applyAlignment="0" applyProtection="0"/>
    <xf numFmtId="0" fontId="13" fillId="0" borderId="2" applyNumberFormat="0" applyAlignment="0"/>
    <xf numFmtId="0" fontId="28" fillId="10" borderId="2">
      <alignment horizontal="center" wrapText="1"/>
    </xf>
    <xf numFmtId="43" fontId="3" fillId="0" borderId="0" applyFont="0" applyFill="0" applyBorder="0" applyAlignment="0" applyProtection="0"/>
    <xf numFmtId="0" fontId="13" fillId="11" borderId="2" applyNumberFormat="0" applyAlignment="0">
      <protection locked="0"/>
    </xf>
    <xf numFmtId="0" fontId="15" fillId="0" borderId="2" applyNumberFormat="0" applyAlignment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2" fillId="2" borderId="3">
      <alignment horizontal="left" indent="1"/>
    </xf>
    <xf numFmtId="0" fontId="19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23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5" borderId="10" applyNumberFormat="0" applyAlignment="0" applyProtection="0"/>
    <xf numFmtId="0" fontId="27" fillId="9" borderId="12" applyNumberFormat="0" applyAlignment="0" applyProtection="0"/>
    <xf numFmtId="0" fontId="30" fillId="12" borderId="10" applyNumberFormat="0" applyAlignment="0" applyProtection="0"/>
  </cellStyleXfs>
  <cellXfs count="49">
    <xf numFmtId="0" fontId="0" fillId="0" borderId="0" xfId="0"/>
    <xf numFmtId="0" fontId="1" fillId="0" borderId="0" xfId="0" applyFont="1" applyAlignment="1">
      <alignment horizontal="left" vertical="top" wrapText="1" shrinkToFit="1"/>
    </xf>
    <xf numFmtId="0" fontId="1" fillId="0" borderId="0" xfId="0" applyFont="1" applyAlignment="1">
      <alignment horizontal="left" vertical="top" wrapText="1"/>
    </xf>
    <xf numFmtId="0" fontId="4" fillId="2" borderId="3" xfId="0" applyFont="1" applyFill="1" applyBorder="1" applyAlignment="1">
      <alignment horizontal="left" indent="1"/>
    </xf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0" borderId="0" xfId="0" applyFont="1" applyAlignment="1">
      <alignment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164" fontId="1" fillId="0" borderId="0" xfId="0" applyNumberFormat="1" applyFont="1" applyAlignment="1">
      <alignment horizontal="left" vertical="top"/>
    </xf>
    <xf numFmtId="0" fontId="0" fillId="0" borderId="0" xfId="0" applyFont="1"/>
    <xf numFmtId="0" fontId="2" fillId="0" borderId="0" xfId="0" applyFont="1"/>
    <xf numFmtId="0" fontId="2" fillId="2" borderId="3" xfId="12">
      <alignment horizontal="left" indent="1"/>
    </xf>
    <xf numFmtId="0" fontId="0" fillId="0" borderId="0" xfId="0" applyFont="1" applyBorder="1" applyAlignment="1">
      <alignment horizontal="left"/>
    </xf>
    <xf numFmtId="0" fontId="2" fillId="3" borderId="2" xfId="0" applyFont="1" applyFill="1" applyBorder="1"/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4" xfId="0" quotePrefix="1" applyFont="1" applyBorder="1" applyAlignment="1">
      <alignment horizontal="left"/>
    </xf>
    <xf numFmtId="43" fontId="1" fillId="0" borderId="2" xfId="5" applyFont="1" applyBorder="1" applyAlignment="1">
      <alignment horizontal="left"/>
    </xf>
    <xf numFmtId="43" fontId="1" fillId="0" borderId="2" xfId="5" quotePrefix="1" applyFont="1" applyBorder="1" applyAlignment="1">
      <alignment horizontal="left"/>
    </xf>
    <xf numFmtId="0" fontId="2" fillId="2" borderId="3" xfId="0" applyFont="1" applyFill="1" applyBorder="1" applyAlignment="1">
      <alignment horizontal="left" indent="1"/>
    </xf>
    <xf numFmtId="0" fontId="1" fillId="0" borderId="0" xfId="0" applyFont="1"/>
    <xf numFmtId="0" fontId="2" fillId="2" borderId="3" xfId="12" applyFont="1">
      <alignment horizontal="left" indent="1"/>
    </xf>
    <xf numFmtId="0" fontId="1" fillId="0" borderId="0" xfId="0" applyFont="1" applyAlignment="1">
      <alignment horizontal="left" indent="1"/>
    </xf>
    <xf numFmtId="0" fontId="8" fillId="0" borderId="0" xfId="11" applyFont="1" applyAlignment="1" applyProtection="1">
      <alignment vertical="top" wrapText="1"/>
    </xf>
    <xf numFmtId="0" fontId="0" fillId="3" borderId="0" xfId="0" applyFill="1"/>
    <xf numFmtId="0" fontId="10" fillId="3" borderId="0" xfId="0" applyFont="1" applyFill="1" applyAlignment="1">
      <alignment vertical="top" wrapText="1"/>
    </xf>
    <xf numFmtId="0" fontId="11" fillId="4" borderId="2" xfId="0" applyFont="1" applyFill="1" applyBorder="1"/>
    <xf numFmtId="0" fontId="16" fillId="0" borderId="7" xfId="8"/>
    <xf numFmtId="0" fontId="20" fillId="0" borderId="0" xfId="0" applyFont="1" applyAlignment="1">
      <alignment horizontal="right"/>
    </xf>
    <xf numFmtId="0" fontId="21" fillId="0" borderId="0" xfId="0" applyFont="1"/>
    <xf numFmtId="0" fontId="22" fillId="3" borderId="0" xfId="0" applyFont="1" applyFill="1" applyAlignment="1">
      <alignment horizontal="right"/>
    </xf>
    <xf numFmtId="0" fontId="29" fillId="0" borderId="5" xfId="0" applyFont="1" applyFill="1" applyBorder="1" applyAlignment="1">
      <alignment horizontal="left" vertical="center"/>
    </xf>
    <xf numFmtId="0" fontId="1" fillId="0" borderId="0" xfId="0" quotePrefix="1" applyFont="1" applyAlignment="1">
      <alignment vertical="top"/>
    </xf>
    <xf numFmtId="0" fontId="14" fillId="0" borderId="0" xfId="0" applyFont="1"/>
    <xf numFmtId="0" fontId="30" fillId="12" borderId="10" xfId="20" applyAlignment="1">
      <alignment horizontal="left"/>
    </xf>
    <xf numFmtId="0" fontId="28" fillId="10" borderId="2" xfId="4">
      <alignment horizontal="center" wrapText="1"/>
    </xf>
    <xf numFmtId="14" fontId="30" fillId="12" borderId="10" xfId="20" applyNumberFormat="1" applyAlignment="1">
      <alignment horizontal="left"/>
    </xf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7" xfId="8" applyAlignment="1">
      <alignment horizontal="left"/>
    </xf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11" fillId="4" borderId="2" xfId="0" applyFont="1" applyFill="1" applyBorder="1" applyAlignment="1">
      <alignment wrapText="1"/>
    </xf>
  </cellXfs>
  <cellStyles count="21">
    <cellStyle name="Bad" xfId="16" builtinId="27" hidden="1"/>
    <cellStyle name="Calculated Value" xfId="3"/>
    <cellStyle name="Calculation" xfId="18" builtinId="22" hidden="1"/>
    <cellStyle name="Check Cell" xfId="19" builtinId="23" hidden="1"/>
    <cellStyle name="Column Caption" xfId="4"/>
    <cellStyle name="Comma" xfId="5" builtinId="3"/>
    <cellStyle name="Data Entry" xfId="6"/>
    <cellStyle name="Data Value" xfId="7"/>
    <cellStyle name="Good" xfId="15" builtinId="26" hidden="1"/>
    <cellStyle name="Heading 1" xfId="8" builtinId="16" customBuiltin="1"/>
    <cellStyle name="Heading 2" xfId="9" builtinId="17" customBuiltin="1"/>
    <cellStyle name="Heading 3" xfId="10" builtinId="18" customBuiltin="1"/>
    <cellStyle name="Hyperlink" xfId="11" builtinId="8"/>
    <cellStyle name="Information Label" xfId="12"/>
    <cellStyle name="Input" xfId="20" builtinId="20"/>
    <cellStyle name="Neutral" xfId="17" builtinId="28" hidden="1"/>
    <cellStyle name="Normal" xfId="0" builtinId="0" customBuiltin="1"/>
    <cellStyle name="RowLevel_1" xfId="1" builtinId="1" iLevel="0" customBuiltin="1"/>
    <cellStyle name="RowLevel_2" xfId="2" builtinId="1" iLevel="1" customBuiltin="1"/>
    <cellStyle name="Title" xfId="13" builtinId="15" customBuiltin="1"/>
    <cellStyle name="Total" xfId="14" builtinId="25" customBuiltin="1"/>
  </cellStyles>
  <dxfs count="0"/>
  <tableStyles count="0" defaultTableStyle="TableStyleMedium9" defaultPivotStyle="PivotStyleLight16"/>
  <colors>
    <mruColors>
      <color rgb="FFFFFFB0"/>
      <color rgb="FFFFFFA9"/>
      <color rgb="FFFFFFA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[PlansSoldByDateRange.xlsm]Dashboard!PivotTable1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Sold Plans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2692038495188102E-2"/>
          <c:y val="2.5428331875182269E-2"/>
          <c:w val="0.89245862482803029"/>
          <c:h val="0.672748215390273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Dashboard!$D$4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Dashboard!$C$5:$C$39</c:f>
              <c:strCache>
                <c:ptCount val="34"/>
                <c:pt idx="0">
                  <c:v>Aster</c:v>
                </c:pt>
                <c:pt idx="1">
                  <c:v>Bayview 3</c:v>
                </c:pt>
                <c:pt idx="2">
                  <c:v>Birkhill</c:v>
                </c:pt>
                <c:pt idx="3">
                  <c:v>Bristol 2</c:v>
                </c:pt>
                <c:pt idx="4">
                  <c:v>Cobalt 1</c:v>
                </c:pt>
                <c:pt idx="5">
                  <c:v>Cobalt 2</c:v>
                </c:pt>
                <c:pt idx="6">
                  <c:v>Cobalt 3</c:v>
                </c:pt>
                <c:pt idx="7">
                  <c:v>Colbourne 3</c:v>
                </c:pt>
                <c:pt idx="8">
                  <c:v>CUSTOM HOME</c:v>
                </c:pt>
                <c:pt idx="9">
                  <c:v>Emerge</c:v>
                </c:pt>
                <c:pt idx="10">
                  <c:v>Essence</c:v>
                </c:pt>
                <c:pt idx="11">
                  <c:v>Essence 2</c:v>
                </c:pt>
                <c:pt idx="12">
                  <c:v>Essex</c:v>
                </c:pt>
                <c:pt idx="13">
                  <c:v>Eton</c:v>
                </c:pt>
                <c:pt idx="14">
                  <c:v>Fairfield Court</c:v>
                </c:pt>
                <c:pt idx="15">
                  <c:v>Harmony</c:v>
                </c:pt>
                <c:pt idx="16">
                  <c:v>Indigo 1</c:v>
                </c:pt>
                <c:pt idx="17">
                  <c:v>Indigo 2</c:v>
                </c:pt>
                <c:pt idx="18">
                  <c:v>Iris 1</c:v>
                </c:pt>
                <c:pt idx="19">
                  <c:v>Larch</c:v>
                </c:pt>
                <c:pt idx="20">
                  <c:v>Meyer</c:v>
                </c:pt>
                <c:pt idx="21">
                  <c:v>Miro</c:v>
                </c:pt>
                <c:pt idx="22">
                  <c:v>Sabal</c:v>
                </c:pt>
                <c:pt idx="23">
                  <c:v>Sabal 2</c:v>
                </c:pt>
                <c:pt idx="24">
                  <c:v>Sandhurst 2</c:v>
                </c:pt>
                <c:pt idx="25">
                  <c:v>Selkirk 2</c:v>
                </c:pt>
                <c:pt idx="26">
                  <c:v>Sequoia</c:v>
                </c:pt>
                <c:pt idx="27">
                  <c:v>Soho 1</c:v>
                </c:pt>
                <c:pt idx="28">
                  <c:v>Soho 3</c:v>
                </c:pt>
                <c:pt idx="29">
                  <c:v>Solstice Unit A</c:v>
                </c:pt>
                <c:pt idx="30">
                  <c:v>Solstice Unit B</c:v>
                </c:pt>
                <c:pt idx="31">
                  <c:v>Tandem Bay</c:v>
                </c:pt>
                <c:pt idx="32">
                  <c:v>Tandem Bay 2</c:v>
                </c:pt>
                <c:pt idx="33">
                  <c:v>Yorkton - Inactivated (March 1 2017)</c:v>
                </c:pt>
              </c:strCache>
            </c:strRef>
          </c:cat>
          <c:val>
            <c:numRef>
              <c:f>Dashboard!$D$5:$D$39</c:f>
              <c:numCache>
                <c:formatCode>General</c:formatCode>
                <c:ptCount val="34"/>
                <c:pt idx="0">
                  <c:v>12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10</c:v>
                </c:pt>
                <c:pt idx="5">
                  <c:v>2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7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8</c:v>
                </c:pt>
                <c:pt idx="14">
                  <c:v>1</c:v>
                </c:pt>
                <c:pt idx="15">
                  <c:v>1</c:v>
                </c:pt>
                <c:pt idx="16">
                  <c:v>15</c:v>
                </c:pt>
                <c:pt idx="17">
                  <c:v>1</c:v>
                </c:pt>
                <c:pt idx="18">
                  <c:v>10</c:v>
                </c:pt>
                <c:pt idx="19">
                  <c:v>3</c:v>
                </c:pt>
                <c:pt idx="20">
                  <c:v>9</c:v>
                </c:pt>
                <c:pt idx="21">
                  <c:v>1</c:v>
                </c:pt>
                <c:pt idx="22">
                  <c:v>20</c:v>
                </c:pt>
                <c:pt idx="23">
                  <c:v>7</c:v>
                </c:pt>
                <c:pt idx="24">
                  <c:v>12</c:v>
                </c:pt>
                <c:pt idx="25">
                  <c:v>2</c:v>
                </c:pt>
                <c:pt idx="26">
                  <c:v>1</c:v>
                </c:pt>
                <c:pt idx="27">
                  <c:v>4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7</c:v>
                </c:pt>
                <c:pt idx="32">
                  <c:v>3</c:v>
                </c:pt>
                <c:pt idx="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F-4632-B3A7-5184905DC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60065256"/>
        <c:axId val="660062632"/>
      </c:barChart>
      <c:catAx>
        <c:axId val="660065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62632"/>
        <c:crosses val="autoZero"/>
        <c:auto val="1"/>
        <c:lblAlgn val="ctr"/>
        <c:lblOffset val="100"/>
        <c:noMultiLvlLbl val="0"/>
      </c:catAx>
      <c:valAx>
        <c:axId val="660062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65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</xdr:colOff>
      <xdr:row>3</xdr:row>
      <xdr:rowOff>0</xdr:rowOff>
    </xdr:from>
    <xdr:to>
      <xdr:col>19</xdr:col>
      <xdr:colOff>609599</xdr:colOff>
      <xdr:row>39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41EE0D2-00E0-40F6-BE50-399C0A9824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Event%201\Liberty%20Reports\L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BName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son Jones" refreshedDate="42935.556881944445" createdVersion="6" refreshedVersion="6" minRefreshableVersion="3" recordCount="158">
  <cacheSource type="worksheet">
    <worksheetSource name="qryDivision1" sheet="SoldPlansData"/>
  </cacheSource>
  <cacheFields count="12">
    <cacheField name="DivisionID" numFmtId="0">
      <sharedItems containsSemiMixedTypes="0" containsString="0" containsNumber="1" containsInteger="1" minValue="695" maxValue="695"/>
    </cacheField>
    <cacheField name="Division" numFmtId="0">
      <sharedItems/>
    </cacheField>
    <cacheField name="SubdivisionID" numFmtId="0">
      <sharedItems containsSemiMixedTypes="0" containsString="0" containsNumber="1" containsInteger="1" minValue="3022" maxValue="6333"/>
    </cacheField>
    <cacheField name="Subdivision" numFmtId="0">
      <sharedItems/>
    </cacheField>
    <cacheField name="MasterPlan" numFmtId="0">
      <sharedItems/>
    </cacheField>
    <cacheField name="PhasePlan" numFmtId="0">
      <sharedItems count="34">
        <s v="Tandem Bay 2"/>
        <s v="Meyer"/>
        <s v="Essex"/>
        <s v="Iris 1"/>
        <s v="Tandem Bay"/>
        <s v="CUSTOM HOME"/>
        <s v="Sabal"/>
        <s v="Emerge"/>
        <s v="Yorkton - Inactivated (March 1 2017)"/>
        <s v="Indigo 1"/>
        <s v="Essence"/>
        <s v="Cobalt 2"/>
        <s v="Cobalt 3"/>
        <s v="Solstice Unit A"/>
        <s v="Solstice Unit B"/>
        <s v="Cobalt 1"/>
        <s v="Sabal 2"/>
        <s v="Sandhurst 2"/>
        <s v="Soho 3"/>
        <s v="Eton"/>
        <s v="Birkhill"/>
        <s v="Soho 1"/>
        <s v="Aster"/>
        <s v="Colbourne 3"/>
        <s v="Bayview 3"/>
        <s v="Bristol 2"/>
        <s v="Indigo 2"/>
        <s v="Larch"/>
        <s v="Miro"/>
        <s v="Selkirk 2"/>
        <s v="Harmony"/>
        <s v="Sequoia"/>
        <s v="Fairfield Court"/>
        <s v="Essence 2"/>
      </sharedItems>
    </cacheField>
    <cacheField name="PlanCost" numFmtId="0">
      <sharedItems containsSemiMixedTypes="0" containsString="0" containsNumber="1" containsInteger="1" minValue="0" maxValue="273807"/>
    </cacheField>
    <cacheField name="PlanPrice" numFmtId="0">
      <sharedItems containsSemiMixedTypes="0" containsString="0" containsNumber="1" containsInteger="1" minValue="180800" maxValue="696465"/>
    </cacheField>
    <cacheField name="PhasePlanID" numFmtId="0">
      <sharedItems containsSemiMixedTypes="0" containsString="0" containsNumber="1" containsInteger="1" minValue="86003" maxValue="158877"/>
    </cacheField>
    <cacheField name="Buyer" numFmtId="0">
      <sharedItems/>
    </cacheField>
    <cacheField name="UsrName" numFmtId="0">
      <sharedItems/>
    </cacheField>
    <cacheField name="SoldDate" numFmtId="22">
      <sharedItems containsSemiMixedTypes="0" containsNonDate="0" containsDate="1" containsString="0" minDate="2016-01-06T00:00:00" maxDate="2017-07-2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8">
  <r>
    <n v="695"/>
    <s v="Calgary"/>
    <n v="3029"/>
    <s v="Walden"/>
    <s v="Tandem Bay 2"/>
    <x v="0"/>
    <n v="209362"/>
    <n v="278600"/>
    <n v="87860"/>
    <s v="Joshua Servano"/>
    <s v="Paul King"/>
    <d v="2016-01-06T00:00:00"/>
  </r>
  <r>
    <n v="695"/>
    <s v="Calgary"/>
    <n v="4249"/>
    <s v="Shawnee Park"/>
    <s v="Meyer"/>
    <x v="1"/>
    <n v="226994"/>
    <n v="317800"/>
    <n v="121231"/>
    <s v="Iakov Sapojnikov"/>
    <s v="Jon Mortier"/>
    <d v="2016-01-13T00:00:00"/>
  </r>
  <r>
    <n v="695"/>
    <s v="Calgary"/>
    <n v="3029"/>
    <s v="Walden"/>
    <s v="Essex"/>
    <x v="2"/>
    <n v="192156"/>
    <n v="258000"/>
    <n v="132087"/>
    <s v="Syed Saad Husain"/>
    <s v="Paul King"/>
    <d v="2016-01-18T00:00:00"/>
  </r>
  <r>
    <n v="695"/>
    <s v="Calgary"/>
    <n v="6077"/>
    <s v="Walden Paired"/>
    <s v="Iris 1"/>
    <x v="3"/>
    <n v="150167"/>
    <n v="200700"/>
    <n v="141145"/>
    <s v="Denis Prutean"/>
    <s v="Tracie Sartori"/>
    <d v="2016-02-04T00:00:00"/>
  </r>
  <r>
    <n v="695"/>
    <s v="Calgary"/>
    <n v="6077"/>
    <s v="Walden Paired"/>
    <s v="Iris 1"/>
    <x v="3"/>
    <n v="150167"/>
    <n v="200700"/>
    <n v="141145"/>
    <s v="Ashishkumar Barot"/>
    <s v="Tracie Sartori"/>
    <d v="2016-02-05T00:00:00"/>
  </r>
  <r>
    <n v="695"/>
    <s v="Calgary"/>
    <n v="4249"/>
    <s v="Shawnee Park"/>
    <s v="Meyer"/>
    <x v="1"/>
    <n v="226994"/>
    <n v="317800"/>
    <n v="121231"/>
    <s v="Syed Subzwari"/>
    <s v="Jon Mortier"/>
    <d v="2016-02-11T00:00:00"/>
  </r>
  <r>
    <n v="695"/>
    <s v="Calgary"/>
    <n v="3029"/>
    <s v="Walden"/>
    <s v="Tandem Bay"/>
    <x v="4"/>
    <n v="198834"/>
    <n v="268500"/>
    <n v="86003"/>
    <s v="Bradley Fraser"/>
    <s v="Paul King"/>
    <d v="2016-02-17T00:00:00"/>
  </r>
  <r>
    <n v="695"/>
    <s v="Calgary"/>
    <n v="4249"/>
    <s v="Shawnee Park"/>
    <s v="Meyer"/>
    <x v="1"/>
    <n v="226994"/>
    <n v="317800"/>
    <n v="121231"/>
    <s v="Ronalda Allchorne"/>
    <s v="Jon Mortier"/>
    <d v="2016-02-22T00:00:00"/>
  </r>
  <r>
    <n v="695"/>
    <s v="Calgary"/>
    <n v="3029"/>
    <s v="Walden"/>
    <s v="Tandem Bay"/>
    <x v="4"/>
    <n v="198834"/>
    <n v="268500"/>
    <n v="86003"/>
    <s v="Eric Brusset"/>
    <s v="Paul King"/>
    <d v="2016-03-14T00:00:00"/>
  </r>
  <r>
    <n v="695"/>
    <s v="Calgary"/>
    <n v="3105"/>
    <s v="Inner City"/>
    <s v="CUSTOM HOME"/>
    <x v="5"/>
    <n v="0"/>
    <n v="696465"/>
    <n v="135315"/>
    <s v="Tina Wong"/>
    <s v="Mark Endruhn"/>
    <d v="2016-03-24T00:00:00"/>
  </r>
  <r>
    <n v="695"/>
    <s v="Calgary"/>
    <n v="3029"/>
    <s v="Walden"/>
    <s v="Tandem Bay"/>
    <x v="4"/>
    <n v="198834"/>
    <n v="268500"/>
    <n v="86003"/>
    <s v="Lana Gibbs"/>
    <s v="Paul King"/>
    <d v="2016-04-11T00:00:00"/>
  </r>
  <r>
    <n v="695"/>
    <s v="Calgary"/>
    <n v="6147"/>
    <s v="Savanna"/>
    <s v="Sabal"/>
    <x v="6"/>
    <n v="206046"/>
    <n v="276850"/>
    <n v="143989"/>
    <s v="Jagtar Singh Sidhu"/>
    <s v="Tabi Lam"/>
    <d v="2016-04-19T00:00:00"/>
  </r>
  <r>
    <n v="695"/>
    <s v="Calgary"/>
    <n v="6147"/>
    <s v="Savanna"/>
    <s v="Emerge"/>
    <x v="7"/>
    <n v="189146"/>
    <n v="257250"/>
    <n v="143988"/>
    <s v="Arshdeep Singh Chohan"/>
    <s v="Tabi Lam"/>
    <d v="2016-04-20T00:00:00"/>
  </r>
  <r>
    <n v="695"/>
    <s v="Calgary"/>
    <n v="6147"/>
    <s v="Savanna"/>
    <s v="Sabal"/>
    <x v="6"/>
    <n v="206046"/>
    <n v="276850"/>
    <n v="143989"/>
    <s v="Gurpreet Singh Dhillon"/>
    <s v="Tabi Lam"/>
    <d v="2016-04-25T00:00:00"/>
  </r>
  <r>
    <n v="695"/>
    <s v="Calgary"/>
    <n v="6147"/>
    <s v="Savanna"/>
    <s v="Sabal"/>
    <x v="6"/>
    <n v="206046"/>
    <n v="276850"/>
    <n v="143989"/>
    <s v="Jagdeep Singh Lalli"/>
    <s v="Tabi Lam"/>
    <d v="2016-04-27T00:00:00"/>
  </r>
  <r>
    <n v="695"/>
    <s v="Calgary"/>
    <n v="3022"/>
    <s v="X - Chaparral Valley"/>
    <s v="Yorkton - Inactivated (March 1 2017)"/>
    <x v="8"/>
    <n v="179763"/>
    <n v="257829"/>
    <n v="106823"/>
    <s v="Breeha Malik"/>
    <s v="Paul King"/>
    <d v="2016-04-27T00:00:00"/>
  </r>
  <r>
    <n v="695"/>
    <s v="Calgary"/>
    <n v="6147"/>
    <s v="Savanna"/>
    <s v="Sabal"/>
    <x v="6"/>
    <n v="206046"/>
    <n v="276850"/>
    <n v="143989"/>
    <s v="Harshvir Singh Gill"/>
    <s v="Tabi Lam"/>
    <d v="2016-05-03T00:00:00"/>
  </r>
  <r>
    <n v="695"/>
    <s v="Calgary"/>
    <n v="6077"/>
    <s v="Walden Paired"/>
    <s v="Indigo 1"/>
    <x v="9"/>
    <n v="150080"/>
    <n v="200500"/>
    <n v="139109"/>
    <s v="Ebrahim Patel"/>
    <s v="Tracie Sartori"/>
    <d v="2016-05-03T00:00:00"/>
  </r>
  <r>
    <n v="695"/>
    <s v="Calgary"/>
    <n v="6077"/>
    <s v="Walden Paired"/>
    <s v="Iris 1"/>
    <x v="3"/>
    <n v="150167"/>
    <n v="200700"/>
    <n v="141145"/>
    <s v="Ebrahim Patel"/>
    <s v="Tracie Sartori"/>
    <d v="2016-05-03T00:00:00"/>
  </r>
  <r>
    <n v="695"/>
    <s v="Calgary"/>
    <n v="6077"/>
    <s v="Walden Paired"/>
    <s v="Indigo 1"/>
    <x v="9"/>
    <n v="150080"/>
    <n v="200500"/>
    <n v="139109"/>
    <s v="ELIZABETH ALLEN"/>
    <s v="Tracie Sartori"/>
    <d v="2016-05-09T00:00:00"/>
  </r>
  <r>
    <n v="695"/>
    <s v="Calgary"/>
    <n v="3022"/>
    <s v="X - Chaparral Valley"/>
    <s v="Essence"/>
    <x v="10"/>
    <n v="180452"/>
    <n v="259520"/>
    <n v="106821"/>
    <s v="Kyle Fitzgerald"/>
    <s v="Paul King"/>
    <d v="2016-05-11T00:00:00"/>
  </r>
  <r>
    <n v="695"/>
    <s v="Calgary"/>
    <n v="6147"/>
    <s v="Savanna"/>
    <s v="Emerge"/>
    <x v="7"/>
    <n v="189146"/>
    <n v="257250"/>
    <n v="143988"/>
    <s v="Tahir Amin"/>
    <s v="Tabi Lam"/>
    <d v="2016-05-11T00:00:00"/>
  </r>
  <r>
    <n v="695"/>
    <s v="Calgary"/>
    <n v="6147"/>
    <s v="Savanna"/>
    <s v="Sabal"/>
    <x v="6"/>
    <n v="206046"/>
    <n v="276850"/>
    <n v="143989"/>
    <s v="Aown Anwar"/>
    <s v="Tabi Lam"/>
    <d v="2016-05-16T00:00:00"/>
  </r>
  <r>
    <n v="695"/>
    <s v="Calgary"/>
    <n v="6108"/>
    <s v="Savanna Paired"/>
    <s v="Cobalt 2"/>
    <x v="11"/>
    <n v="141921"/>
    <n v="193100"/>
    <n v="146792"/>
    <s v="Suresh Kumar"/>
    <s v="Tabi Lam"/>
    <d v="2016-05-17T00:00:00"/>
  </r>
  <r>
    <n v="695"/>
    <s v="Calgary"/>
    <n v="6108"/>
    <s v="Savanna Paired"/>
    <s v="Cobalt 3"/>
    <x v="12"/>
    <n v="142903"/>
    <n v="194400"/>
    <n v="146793"/>
    <s v="Gavino J. Maguddayao"/>
    <s v="Tabi Lam"/>
    <d v="2016-05-17T00:00:00"/>
  </r>
  <r>
    <n v="695"/>
    <s v="Calgary"/>
    <n v="3105"/>
    <s v="Inner City"/>
    <s v="Solstice Unit A"/>
    <x v="13"/>
    <n v="267646"/>
    <n v="339306"/>
    <n v="105275"/>
    <s v="James Koutselas"/>
    <s v="Andrew Davidson"/>
    <d v="2016-05-18T00:00:00"/>
  </r>
  <r>
    <n v="695"/>
    <s v="Calgary"/>
    <n v="3105"/>
    <s v="Inner City"/>
    <s v="Solstice Unit B"/>
    <x v="14"/>
    <n v="265423"/>
    <n v="336477"/>
    <n v="105276"/>
    <s v="James Koutselas"/>
    <s v="Andrew Davidson"/>
    <d v="2016-05-18T00:00:00"/>
  </r>
  <r>
    <n v="695"/>
    <s v="Calgary"/>
    <n v="6108"/>
    <s v="Savanna Paired"/>
    <s v="Cobalt 1"/>
    <x v="15"/>
    <n v="141271"/>
    <n v="192200"/>
    <n v="146791"/>
    <s v="Abner Tiangson Ramos"/>
    <s v="Tabi Lam"/>
    <d v="2016-05-19T00:00:00"/>
  </r>
  <r>
    <n v="695"/>
    <s v="Calgary"/>
    <n v="6147"/>
    <s v="Savanna"/>
    <s v="Sabal 2"/>
    <x v="16"/>
    <n v="206616"/>
    <n v="278150"/>
    <n v="147353"/>
    <s v="Ubaid Saeed"/>
    <s v="Tabi Lam"/>
    <d v="2016-05-24T00:00:00"/>
  </r>
  <r>
    <n v="695"/>
    <s v="Calgary"/>
    <n v="6147"/>
    <s v="Savanna"/>
    <s v="Emerge"/>
    <x v="7"/>
    <n v="189146"/>
    <n v="257250"/>
    <n v="143988"/>
    <s v="Muhammad Rehan Sarfraz"/>
    <s v="Tabi Lam"/>
    <d v="2016-05-24T00:00:00"/>
  </r>
  <r>
    <n v="695"/>
    <s v="Calgary"/>
    <n v="6147"/>
    <s v="Savanna"/>
    <s v="Sabal 2"/>
    <x v="16"/>
    <n v="206616"/>
    <n v="278150"/>
    <n v="147353"/>
    <s v="Balwant Singh Sidhu"/>
    <s v="Tabi Lam"/>
    <d v="2016-05-25T00:00:00"/>
  </r>
  <r>
    <n v="695"/>
    <s v="Calgary"/>
    <n v="3029"/>
    <s v="Walden"/>
    <s v="Sandhurst 2"/>
    <x v="17"/>
    <n v="167489"/>
    <n v="226200"/>
    <n v="146972"/>
    <s v="Cody Weiss"/>
    <s v="Paul King"/>
    <d v="2016-05-25T00:00:00"/>
  </r>
  <r>
    <n v="695"/>
    <s v="Calgary"/>
    <n v="6147"/>
    <s v="Savanna"/>
    <s v="Sabal 2"/>
    <x v="16"/>
    <n v="206616"/>
    <n v="278150"/>
    <n v="147353"/>
    <s v="Mandeep Singh Gill"/>
    <s v="Tabi Lam"/>
    <d v="2016-05-26T00:00:00"/>
  </r>
  <r>
    <n v="695"/>
    <s v="Calgary"/>
    <n v="3022"/>
    <s v="X - Chaparral Valley"/>
    <s v="Essence"/>
    <x v="10"/>
    <n v="180452"/>
    <n v="259520"/>
    <n v="106821"/>
    <s v="Andrew Thompson"/>
    <s v="Paul King"/>
    <d v="2016-05-26T00:00:00"/>
  </r>
  <r>
    <n v="695"/>
    <s v="Calgary"/>
    <n v="3029"/>
    <s v="Walden"/>
    <s v="Sandhurst 2"/>
    <x v="17"/>
    <n v="167489"/>
    <n v="226200"/>
    <n v="146972"/>
    <s v="Cuong Manh Pham"/>
    <s v="Paul King"/>
    <d v="2016-05-30T00:00:00"/>
  </r>
  <r>
    <n v="695"/>
    <s v="Calgary"/>
    <n v="6147"/>
    <s v="Savanna"/>
    <s v="Sabal 2"/>
    <x v="16"/>
    <n v="206616"/>
    <n v="278150"/>
    <n v="147353"/>
    <s v="Veena Wati Prasad"/>
    <s v="Tabi Lam"/>
    <d v="2016-05-31T00:00:00"/>
  </r>
  <r>
    <n v="695"/>
    <s v="Calgary"/>
    <n v="6108"/>
    <s v="Savanna Paired"/>
    <s v="Soho 3"/>
    <x v="18"/>
    <n v="135389"/>
    <n v="184200"/>
    <n v="146790"/>
    <s v="Vishant Bhanudas Polle"/>
    <s v="Tabi Lam"/>
    <d v="2016-05-31T00:00:00"/>
  </r>
  <r>
    <n v="695"/>
    <s v="Calgary"/>
    <n v="3029"/>
    <s v="Walden"/>
    <s v="Sandhurst 2"/>
    <x v="17"/>
    <n v="167489"/>
    <n v="226200"/>
    <n v="146972"/>
    <s v="Robert MacKinnon"/>
    <s v="Paul King"/>
    <d v="2016-06-01T00:00:00"/>
  </r>
  <r>
    <n v="695"/>
    <s v="Calgary"/>
    <n v="3029"/>
    <s v="Walden"/>
    <s v="Sandhurst 2"/>
    <x v="17"/>
    <n v="167489"/>
    <n v="226200"/>
    <n v="146972"/>
    <s v="Richard Amatto"/>
    <s v="Paul King"/>
    <d v="2016-06-09T00:00:00"/>
  </r>
  <r>
    <n v="695"/>
    <s v="Calgary"/>
    <n v="6147"/>
    <s v="Savanna"/>
    <s v="Sabal"/>
    <x v="6"/>
    <n v="206046"/>
    <n v="276850"/>
    <n v="143989"/>
    <s v="Sajid Mohammad"/>
    <s v="Tabi Lam"/>
    <d v="2016-06-10T00:00:00"/>
  </r>
  <r>
    <n v="695"/>
    <s v="Calgary"/>
    <n v="6147"/>
    <s v="Savanna"/>
    <s v="Sabal 2"/>
    <x v="16"/>
    <n v="206616"/>
    <n v="278150"/>
    <n v="147353"/>
    <s v="Swaranjit Singh Dhaliwal"/>
    <s v="Tabi Lam"/>
    <d v="2016-06-10T00:00:00"/>
  </r>
  <r>
    <n v="695"/>
    <s v="Calgary"/>
    <n v="6108"/>
    <s v="Savanna Paired"/>
    <s v="Eton"/>
    <x v="19"/>
    <n v="145710"/>
    <n v="198100"/>
    <n v="146794"/>
    <s v="Simon Seyoum"/>
    <s v="Tabi Lam"/>
    <d v="2016-06-14T00:00:00"/>
  </r>
  <r>
    <n v="695"/>
    <s v="Calgary"/>
    <n v="6108"/>
    <s v="Savanna Paired"/>
    <s v="Eton"/>
    <x v="19"/>
    <n v="145710"/>
    <n v="198100"/>
    <n v="146794"/>
    <s v="Azher Hussain Syed"/>
    <s v="Tabi Lam"/>
    <d v="2016-06-14T00:00:00"/>
  </r>
  <r>
    <n v="695"/>
    <s v="Calgary"/>
    <n v="6147"/>
    <s v="Savanna"/>
    <s v="Sabal 2"/>
    <x v="16"/>
    <n v="206616"/>
    <n v="278150"/>
    <n v="147353"/>
    <s v="Muhammad Islam"/>
    <s v="Tabi Lam"/>
    <d v="2016-06-16T00:00:00"/>
  </r>
  <r>
    <n v="695"/>
    <s v="Calgary"/>
    <n v="6147"/>
    <s v="Savanna"/>
    <s v="Emerge"/>
    <x v="7"/>
    <n v="189146"/>
    <n v="257250"/>
    <n v="143988"/>
    <s v="Jyotikaben Jayant Patel"/>
    <s v="Tabi Lam"/>
    <d v="2016-06-16T00:00:00"/>
  </r>
  <r>
    <n v="695"/>
    <s v="Calgary"/>
    <n v="6147"/>
    <s v="Savanna"/>
    <s v="Emerge"/>
    <x v="7"/>
    <n v="189146"/>
    <n v="257250"/>
    <n v="143988"/>
    <s v="Dipakkumar Rameshbhai Desai"/>
    <s v="Tabi Lam"/>
    <d v="2016-06-17T00:00:00"/>
  </r>
  <r>
    <n v="695"/>
    <s v="Calgary"/>
    <n v="6147"/>
    <s v="Savanna"/>
    <s v="Sabal"/>
    <x v="6"/>
    <n v="206046"/>
    <n v="276850"/>
    <n v="143989"/>
    <s v="Amandeep Singh Banipal"/>
    <s v="Tabi Lam"/>
    <d v="2016-06-17T00:00:00"/>
  </r>
  <r>
    <n v="695"/>
    <s v="Calgary"/>
    <n v="6077"/>
    <s v="Walden Paired"/>
    <s v="Indigo 1"/>
    <x v="9"/>
    <n v="150080"/>
    <n v="200500"/>
    <n v="139109"/>
    <s v="Kelly Peterson"/>
    <s v="Tracie Sartori"/>
    <d v="2016-06-20T00:00:00"/>
  </r>
  <r>
    <n v="695"/>
    <s v="Calgary"/>
    <n v="6147"/>
    <s v="Savanna"/>
    <s v="Birkhill"/>
    <x v="20"/>
    <n v="191402"/>
    <n v="260250"/>
    <n v="143198"/>
    <s v="Sundus Iqbal"/>
    <s v="Tabi Lam"/>
    <d v="2016-06-23T00:00:00"/>
  </r>
  <r>
    <n v="695"/>
    <s v="Calgary"/>
    <n v="6147"/>
    <s v="Savanna"/>
    <s v="Sabal 2"/>
    <x v="16"/>
    <n v="206616"/>
    <n v="278150"/>
    <n v="147353"/>
    <s v="Usman Ishaq"/>
    <s v="Tabi Lam"/>
    <d v="2016-06-23T00:00:00"/>
  </r>
  <r>
    <n v="695"/>
    <s v="Calgary"/>
    <n v="6108"/>
    <s v="Savanna Paired"/>
    <s v="Indigo 1"/>
    <x v="9"/>
    <n v="150140"/>
    <n v="204100"/>
    <n v="146795"/>
    <s v="Jagdeep Singh Sidhu"/>
    <s v="Tabi Lam"/>
    <d v="2016-06-28T00:00:00"/>
  </r>
  <r>
    <n v="695"/>
    <s v="Calgary"/>
    <n v="6077"/>
    <s v="Walden Paired"/>
    <s v="Cobalt 2"/>
    <x v="11"/>
    <n v="141891"/>
    <n v="190100"/>
    <n v="141141"/>
    <s v="Kathleen Hilton"/>
    <s v="Tracie Sartori"/>
    <d v="2016-06-28T00:00:00"/>
  </r>
  <r>
    <n v="695"/>
    <s v="Calgary"/>
    <n v="6108"/>
    <s v="Savanna Paired"/>
    <s v="Iris 1"/>
    <x v="3"/>
    <n v="150228"/>
    <n v="204300"/>
    <n v="146797"/>
    <s v="Amritpal Kahlon"/>
    <s v="Tabi Lam"/>
    <d v="2016-07-05T00:00:00"/>
  </r>
  <r>
    <n v="695"/>
    <s v="Calgary"/>
    <n v="3029"/>
    <s v="Walden"/>
    <s v="Sandhurst 2"/>
    <x v="17"/>
    <n v="167489"/>
    <n v="226200"/>
    <n v="146972"/>
    <s v="Carina Almero"/>
    <s v="Paul King"/>
    <d v="2016-07-08T00:00:00"/>
  </r>
  <r>
    <n v="695"/>
    <s v="Calgary"/>
    <n v="3029"/>
    <s v="Walden"/>
    <s v="Sandhurst 2"/>
    <x v="17"/>
    <n v="167489"/>
    <n v="226200"/>
    <n v="146972"/>
    <s v="Hugo Barroso"/>
    <s v="Paul King"/>
    <d v="2016-07-08T00:00:00"/>
  </r>
  <r>
    <n v="695"/>
    <s v="Calgary"/>
    <n v="6077"/>
    <s v="Walden Paired"/>
    <s v="Soho 1"/>
    <x v="21"/>
    <n v="136247"/>
    <n v="182000"/>
    <n v="141146"/>
    <s v="Abigail Suarez Balderas"/>
    <s v="Tracie Sartori"/>
    <d v="2016-07-12T00:00:00"/>
  </r>
  <r>
    <n v="695"/>
    <s v="Calgary"/>
    <n v="6147"/>
    <s v="Savanna"/>
    <s v="Sabal"/>
    <x v="6"/>
    <n v="206046"/>
    <n v="276850"/>
    <n v="143989"/>
    <s v="Nasir Khaliq"/>
    <s v="Tabi Lam"/>
    <d v="2016-07-12T00:00:00"/>
  </r>
  <r>
    <n v="695"/>
    <s v="Calgary"/>
    <n v="6077"/>
    <s v="Walden Paired"/>
    <s v="Iris 1"/>
    <x v="3"/>
    <n v="150167"/>
    <n v="200700"/>
    <n v="141145"/>
    <s v="Jillian Mortensen"/>
    <s v="Tracie Sartori"/>
    <d v="2016-07-18T00:00:00"/>
  </r>
  <r>
    <n v="695"/>
    <s v="Calgary"/>
    <n v="6077"/>
    <s v="Walden Paired"/>
    <s v="Indigo 1"/>
    <x v="9"/>
    <n v="150080"/>
    <n v="200500"/>
    <n v="139109"/>
    <s v="Justin Ladd"/>
    <s v="Tracie Sartori"/>
    <d v="2016-07-19T00:00:00"/>
  </r>
  <r>
    <n v="695"/>
    <s v="Calgary"/>
    <n v="6108"/>
    <s v="Savanna Paired"/>
    <s v="Cobalt 3"/>
    <x v="12"/>
    <n v="142903"/>
    <n v="194400"/>
    <n v="146793"/>
    <s v="Mohammed Chatouani"/>
    <s v="Tabi Lam"/>
    <d v="2016-07-20T00:00:00"/>
  </r>
  <r>
    <n v="695"/>
    <s v="Calgary"/>
    <n v="6108"/>
    <s v="Savanna Paired"/>
    <s v="Cobalt 1"/>
    <x v="15"/>
    <n v="141271"/>
    <n v="192200"/>
    <n v="146791"/>
    <s v="Jaspreet Singh Hara"/>
    <s v="Tabi Lam"/>
    <d v="2016-07-27T00:00:00"/>
  </r>
  <r>
    <n v="695"/>
    <s v="Calgary"/>
    <n v="6147"/>
    <s v="Savanna"/>
    <s v="Aster"/>
    <x v="22"/>
    <n v="216540"/>
    <n v="293650"/>
    <n v="150542"/>
    <s v="Muhammad Rizwan"/>
    <s v="Tabi Lam"/>
    <d v="2016-08-02T00:00:00"/>
  </r>
  <r>
    <n v="695"/>
    <s v="Calgary"/>
    <n v="3029"/>
    <s v="Walden"/>
    <s v="Colbourne 3"/>
    <x v="23"/>
    <n v="196676"/>
    <n v="268700"/>
    <n v="86005"/>
    <s v="Corneliu Girlea"/>
    <s v="Jillian McKenzie"/>
    <d v="2016-08-02T00:00:00"/>
  </r>
  <r>
    <n v="695"/>
    <s v="Calgary"/>
    <n v="3029"/>
    <s v="Walden"/>
    <s v="Bayview 3"/>
    <x v="24"/>
    <n v="195254"/>
    <n v="264000"/>
    <n v="87861"/>
    <s v="Jesus Arly Suing"/>
    <s v="Paul King"/>
    <d v="2016-08-04T00:00:00"/>
  </r>
  <r>
    <n v="695"/>
    <s v="Calgary"/>
    <n v="3029"/>
    <s v="Walden"/>
    <s v="Sandhurst 2"/>
    <x v="17"/>
    <n v="167489"/>
    <n v="226200"/>
    <n v="146972"/>
    <s v="Chunying Li"/>
    <s v="Paul King"/>
    <d v="2016-08-10T00:00:00"/>
  </r>
  <r>
    <n v="695"/>
    <s v="Calgary"/>
    <n v="6147"/>
    <s v="Savanna"/>
    <s v="Aster"/>
    <x v="22"/>
    <n v="216540"/>
    <n v="293650"/>
    <n v="150542"/>
    <s v="Gurdeep Singh Gogoani"/>
    <s v="Tabi Lam"/>
    <d v="2016-08-10T00:00:00"/>
  </r>
  <r>
    <n v="695"/>
    <s v="Calgary"/>
    <n v="6108"/>
    <s v="Savanna Paired"/>
    <s v="Indigo 1"/>
    <x v="9"/>
    <n v="150140"/>
    <n v="204100"/>
    <n v="146795"/>
    <s v="Madhuben Kanjib Chaudhari"/>
    <s v="Tabi Lam"/>
    <d v="2016-08-16T00:00:00"/>
  </r>
  <r>
    <n v="695"/>
    <s v="Calgary"/>
    <n v="6147"/>
    <s v="Savanna"/>
    <s v="Aster"/>
    <x v="22"/>
    <n v="216540"/>
    <n v="293650"/>
    <n v="150542"/>
    <s v="Satbir Kaur Jhajj"/>
    <s v="Tabi Lam"/>
    <d v="2016-08-16T00:00:00"/>
  </r>
  <r>
    <n v="695"/>
    <s v="Calgary"/>
    <n v="6147"/>
    <s v="Savanna"/>
    <s v="Sabal"/>
    <x v="6"/>
    <n v="206046"/>
    <n v="276850"/>
    <n v="143989"/>
    <s v="Manjit Singh Banwait"/>
    <s v="Tabi Lam"/>
    <d v="2016-08-16T00:00:00"/>
  </r>
  <r>
    <n v="695"/>
    <s v="Calgary"/>
    <n v="6147"/>
    <s v="Savanna"/>
    <s v="Aster"/>
    <x v="22"/>
    <n v="216540"/>
    <n v="293650"/>
    <n v="150542"/>
    <s v="Pinderjeet Kaur Bath"/>
    <s v="Tabi Lam"/>
    <d v="2016-08-22T00:00:00"/>
  </r>
  <r>
    <n v="695"/>
    <s v="Calgary"/>
    <n v="6147"/>
    <s v="Savanna"/>
    <s v="Emerge"/>
    <x v="7"/>
    <n v="189146"/>
    <n v="257250"/>
    <n v="143988"/>
    <s v="Manpreet Kaur"/>
    <s v="Tabi Lam"/>
    <d v="2016-08-22T00:00:00"/>
  </r>
  <r>
    <n v="695"/>
    <s v="Calgary"/>
    <n v="6108"/>
    <s v="Savanna Paired"/>
    <s v="Cobalt 1"/>
    <x v="15"/>
    <n v="141271"/>
    <n v="192200"/>
    <n v="146791"/>
    <s v="Ishankumar Hiteshkumar Soni"/>
    <s v="Tabi Lam"/>
    <d v="2016-09-07T00:00:00"/>
  </r>
  <r>
    <n v="695"/>
    <s v="Calgary"/>
    <n v="6108"/>
    <s v="Savanna Paired"/>
    <s v="Eton"/>
    <x v="19"/>
    <n v="145710"/>
    <n v="198100"/>
    <n v="146794"/>
    <s v="Dimpalben Nicky Mehta"/>
    <s v="Tabi Lam"/>
    <d v="2016-09-07T00:00:00"/>
  </r>
  <r>
    <n v="695"/>
    <s v="Calgary"/>
    <n v="6077"/>
    <s v="Walden Paired"/>
    <s v="Cobalt 1"/>
    <x v="15"/>
    <n v="141286"/>
    <n v="190300"/>
    <n v="139108"/>
    <s v="Brian Tennant"/>
    <s v="Tracie Sartori"/>
    <d v="2016-09-09T00:00:00"/>
  </r>
  <r>
    <n v="695"/>
    <s v="Calgary"/>
    <n v="3029"/>
    <s v="Walden"/>
    <s v="Sandhurst 2"/>
    <x v="17"/>
    <n v="167489"/>
    <n v="226200"/>
    <n v="146972"/>
    <s v="Shan (Sarah) Feng"/>
    <s v="Paul King"/>
    <d v="2016-09-12T00:00:00"/>
  </r>
  <r>
    <n v="695"/>
    <s v="Calgary"/>
    <n v="6147"/>
    <s v="Savanna"/>
    <s v="Aster"/>
    <x v="22"/>
    <n v="216540"/>
    <n v="293650"/>
    <n v="150542"/>
    <s v="Paramjit Singh Grewal"/>
    <s v="Tabi Lam"/>
    <d v="2016-09-12T00:00:00"/>
  </r>
  <r>
    <n v="695"/>
    <s v="Calgary"/>
    <n v="6147"/>
    <s v="Savanna"/>
    <s v="Aster"/>
    <x v="22"/>
    <n v="216540"/>
    <n v="293650"/>
    <n v="150542"/>
    <s v="Allah Dad Khan"/>
    <s v="Tabi Lam"/>
    <d v="2016-09-12T00:00:00"/>
  </r>
  <r>
    <n v="695"/>
    <s v="Calgary"/>
    <n v="6147"/>
    <s v="Savanna"/>
    <s v="Aster"/>
    <x v="22"/>
    <n v="216540"/>
    <n v="293650"/>
    <n v="150542"/>
    <s v="Imran Hamid"/>
    <s v="Tabi Lam"/>
    <d v="2016-09-16T00:00:00"/>
  </r>
  <r>
    <n v="695"/>
    <s v="Calgary"/>
    <n v="6147"/>
    <s v="Savanna"/>
    <s v="Sabal"/>
    <x v="6"/>
    <n v="206046"/>
    <n v="276850"/>
    <n v="143989"/>
    <s v="Dilbagh Singh Mohaar"/>
    <s v="Tabi Lam"/>
    <d v="2016-09-27T00:00:00"/>
  </r>
  <r>
    <n v="695"/>
    <s v="Calgary"/>
    <n v="6077"/>
    <s v="Walden Paired"/>
    <s v="Iris 1"/>
    <x v="3"/>
    <n v="150167"/>
    <n v="200700"/>
    <n v="141145"/>
    <s v="Katherine Offin"/>
    <s v="Tracie Sartori"/>
    <d v="2016-09-28T00:00:00"/>
  </r>
  <r>
    <n v="695"/>
    <s v="Calgary"/>
    <n v="6077"/>
    <s v="Walden Paired"/>
    <s v="Indigo 1"/>
    <x v="9"/>
    <n v="150080"/>
    <n v="200500"/>
    <n v="139109"/>
    <s v="Andrew Funk"/>
    <s v="Tracie Sartori"/>
    <d v="2016-10-03T00:00:00"/>
  </r>
  <r>
    <n v="695"/>
    <s v="Calgary"/>
    <n v="6108"/>
    <s v="Savanna Paired"/>
    <s v="Iris 1"/>
    <x v="3"/>
    <n v="150228"/>
    <n v="204300"/>
    <n v="146797"/>
    <s v="Mizan Ur Rahman"/>
    <s v="Tabi Lam"/>
    <d v="2016-10-03T00:00:00"/>
  </r>
  <r>
    <n v="695"/>
    <s v="Calgary"/>
    <n v="6077"/>
    <s v="Walden Paired"/>
    <s v="Soho 1"/>
    <x v="21"/>
    <n v="136247"/>
    <n v="182000"/>
    <n v="141146"/>
    <s v="Lindsay Atkinson"/>
    <s v="Tracie Sartori"/>
    <d v="2016-10-06T00:00:00"/>
  </r>
  <r>
    <n v="695"/>
    <s v="Calgary"/>
    <n v="6147"/>
    <s v="Savanna"/>
    <s v="Aster"/>
    <x v="22"/>
    <n v="216540"/>
    <n v="293650"/>
    <n v="150542"/>
    <s v="Deepak Mahna"/>
    <s v="Tabi Lam"/>
    <d v="2016-10-11T00:00:00"/>
  </r>
  <r>
    <n v="695"/>
    <s v="Calgary"/>
    <n v="6108"/>
    <s v="Savanna Paired"/>
    <s v="Eton"/>
    <x v="19"/>
    <n v="145710"/>
    <n v="198100"/>
    <n v="146794"/>
    <s v="Robert Jayson Binay"/>
    <s v="Tabi Lam"/>
    <d v="2016-10-17T00:00:00"/>
  </r>
  <r>
    <n v="695"/>
    <s v="Calgary"/>
    <n v="6077"/>
    <s v="Walden Paired"/>
    <s v="Iris 1"/>
    <x v="3"/>
    <n v="150167"/>
    <n v="200700"/>
    <n v="141145"/>
    <s v="Belal Mansour"/>
    <s v="Tracie Sartori"/>
    <d v="2016-10-17T00:00:00"/>
  </r>
  <r>
    <n v="695"/>
    <s v="Calgary"/>
    <n v="6077"/>
    <s v="Walden Paired"/>
    <s v="Indigo 1"/>
    <x v="9"/>
    <n v="150080"/>
    <n v="200500"/>
    <n v="139109"/>
    <s v="Christopher Rodriguez"/>
    <s v="Tracie Sartori"/>
    <d v="2016-11-03T00:00:00"/>
  </r>
  <r>
    <n v="695"/>
    <s v="Calgary"/>
    <n v="3029"/>
    <s v="Walden"/>
    <s v="Bayview 3"/>
    <x v="24"/>
    <n v="195254"/>
    <n v="264000"/>
    <n v="87861"/>
    <s v="Richard Jaquish"/>
    <s v="Paul King"/>
    <d v="2016-11-10T00:00:00"/>
  </r>
  <r>
    <n v="695"/>
    <s v="Calgary"/>
    <n v="6077"/>
    <s v="Walden Paired"/>
    <s v="Indigo 1"/>
    <x v="9"/>
    <n v="150080"/>
    <n v="200500"/>
    <n v="139109"/>
    <s v="STEPHANIE HOI YAN TSE"/>
    <s v="Tracie Sartori"/>
    <d v="2016-11-22T00:00:00"/>
  </r>
  <r>
    <n v="695"/>
    <s v="Calgary"/>
    <n v="6333"/>
    <s v="Shawnee Park 2,5,6"/>
    <s v="Meyer"/>
    <x v="1"/>
    <n v="232930"/>
    <n v="320200"/>
    <n v="147347"/>
    <s v="Giovanni Bustamante"/>
    <s v="Jon Mortier"/>
    <d v="2016-11-29T00:00:00"/>
  </r>
  <r>
    <n v="695"/>
    <s v="Calgary"/>
    <n v="6333"/>
    <s v="Shawnee Park 2,5,6"/>
    <s v="Meyer"/>
    <x v="1"/>
    <n v="232930"/>
    <n v="320200"/>
    <n v="147347"/>
    <s v="Gregory Jones"/>
    <s v="Jon Mortier"/>
    <d v="2016-11-29T00:00:00"/>
  </r>
  <r>
    <n v="695"/>
    <s v="Calgary"/>
    <n v="6108"/>
    <s v="Savanna Paired"/>
    <s v="Eton"/>
    <x v="19"/>
    <n v="145710"/>
    <n v="198100"/>
    <n v="146794"/>
    <s v="Syed Hassan Ali Zaidi"/>
    <s v="Tabi Lam"/>
    <d v="2016-12-01T00:00:00"/>
  </r>
  <r>
    <n v="695"/>
    <s v="Calgary"/>
    <n v="6108"/>
    <s v="Savanna Paired"/>
    <s v="Cobalt 1"/>
    <x v="15"/>
    <n v="141271"/>
    <n v="192200"/>
    <n v="146791"/>
    <s v="Emily Mendoza Opinaldo"/>
    <s v="Tabi Lam"/>
    <d v="2016-12-05T00:00:00"/>
  </r>
  <r>
    <n v="695"/>
    <s v="Calgary"/>
    <n v="6077"/>
    <s v="Walden Paired"/>
    <s v="Cobalt 3"/>
    <x v="12"/>
    <n v="142873"/>
    <n v="192900"/>
    <n v="141142"/>
    <s v="Carole Dunn"/>
    <s v="Tracie Sartori"/>
    <d v="2016-12-05T00:00:00"/>
  </r>
  <r>
    <n v="695"/>
    <s v="Calgary"/>
    <n v="6108"/>
    <s v="Savanna Paired"/>
    <s v="Soho 1"/>
    <x v="21"/>
    <n v="136173"/>
    <n v="185400"/>
    <n v="146788"/>
    <s v="Zerihun Bekele Kefeni"/>
    <s v="Tabi Lam"/>
    <d v="2016-12-08T00:00:00"/>
  </r>
  <r>
    <n v="695"/>
    <s v="Calgary"/>
    <n v="3029"/>
    <s v="Walden"/>
    <s v="Colbourne 3"/>
    <x v="23"/>
    <n v="196676"/>
    <n v="268700"/>
    <n v="86005"/>
    <s v="Ryan Ogilvie"/>
    <s v="Paul King"/>
    <d v="2016-12-12T00:00:00"/>
  </r>
  <r>
    <n v="695"/>
    <s v="Calgary"/>
    <n v="3029"/>
    <s v="Walden"/>
    <s v="Tandem Bay"/>
    <x v="4"/>
    <n v="198834"/>
    <n v="268500"/>
    <n v="86003"/>
    <s v="Tyler Smith"/>
    <s v="Paul King"/>
    <d v="2017-01-03T00:00:00"/>
  </r>
  <r>
    <n v="695"/>
    <s v="Calgary"/>
    <n v="3029"/>
    <s v="Walden"/>
    <s v="Bristol 2"/>
    <x v="25"/>
    <n v="170418"/>
    <n v="247000"/>
    <n v="87844"/>
    <s v="Manuel Torres"/>
    <s v="Paul King"/>
    <d v="2017-01-06T00:00:00"/>
  </r>
  <r>
    <n v="695"/>
    <s v="Calgary"/>
    <n v="3029"/>
    <s v="Walden"/>
    <s v="Tandem Bay 2"/>
    <x v="0"/>
    <n v="209362"/>
    <n v="278600"/>
    <n v="87860"/>
    <s v="Ivana Milovac"/>
    <s v="Paul King"/>
    <d v="2017-01-10T00:00:00"/>
  </r>
  <r>
    <n v="695"/>
    <s v="Calgary"/>
    <n v="3029"/>
    <s v="Walden"/>
    <s v="Tandem Bay"/>
    <x v="4"/>
    <n v="198834"/>
    <n v="268500"/>
    <n v="86003"/>
    <s v="Nayan Girap"/>
    <s v="Paul King"/>
    <d v="2017-01-11T00:00:00"/>
  </r>
  <r>
    <n v="695"/>
    <s v="Calgary"/>
    <n v="6077"/>
    <s v="Walden Paired"/>
    <s v="Indigo 1"/>
    <x v="9"/>
    <n v="150080"/>
    <n v="200500"/>
    <n v="139109"/>
    <s v="Miles Yong Hong"/>
    <s v="Tracie Sartori"/>
    <d v="2017-01-23T00:00:00"/>
  </r>
  <r>
    <n v="695"/>
    <s v="Calgary"/>
    <n v="6108"/>
    <s v="Savanna Paired"/>
    <s v="Iris 1"/>
    <x v="3"/>
    <n v="150228"/>
    <n v="204300"/>
    <n v="146797"/>
    <s v="Vick Ramoowalia"/>
    <s v="Tabi Lam"/>
    <d v="2017-01-25T00:00:00"/>
  </r>
  <r>
    <n v="695"/>
    <s v="Calgary"/>
    <n v="3029"/>
    <s v="Walden"/>
    <s v="Tandem Bay"/>
    <x v="4"/>
    <n v="198834"/>
    <n v="268500"/>
    <n v="86003"/>
    <s v="Muhammad Sajid Rafique"/>
    <s v="Paul King"/>
    <d v="2017-01-27T00:00:00"/>
  </r>
  <r>
    <n v="695"/>
    <s v="Calgary"/>
    <n v="6108"/>
    <s v="Savanna Paired"/>
    <s v="Cobalt 3"/>
    <x v="12"/>
    <n v="142903"/>
    <n v="194400"/>
    <n v="146793"/>
    <s v="Kathryn Nicole Olson"/>
    <s v="Tabi Lam"/>
    <d v="2017-01-31T00:00:00"/>
  </r>
  <r>
    <n v="695"/>
    <s v="Calgary"/>
    <n v="6077"/>
    <s v="Walden Paired"/>
    <s v="Indigo 2"/>
    <x v="26"/>
    <n v="152247"/>
    <n v="203600"/>
    <n v="141144"/>
    <s v="Hyungjun (Jun) Lim"/>
    <s v="Tracie Sartori"/>
    <d v="2017-01-31T00:00:00"/>
  </r>
  <r>
    <n v="695"/>
    <s v="Calgary"/>
    <n v="3029"/>
    <s v="Walden"/>
    <s v="Sandhurst 2"/>
    <x v="17"/>
    <n v="167489"/>
    <n v="226200"/>
    <n v="146972"/>
    <s v="Brian Spence"/>
    <s v="Paul King"/>
    <d v="2017-02-01T00:00:00"/>
  </r>
  <r>
    <n v="695"/>
    <s v="Calgary"/>
    <n v="4249"/>
    <s v="Shawnee Park"/>
    <s v="Larch"/>
    <x v="27"/>
    <n v="239995"/>
    <n v="336000"/>
    <n v="121229"/>
    <s v="Jason Hargreaves"/>
    <s v="Jon Mortier"/>
    <d v="2017-02-02T00:00:00"/>
  </r>
  <r>
    <n v="695"/>
    <s v="Calgary"/>
    <n v="6077"/>
    <s v="Walden Paired"/>
    <s v="Indigo 1"/>
    <x v="9"/>
    <n v="150080"/>
    <n v="200500"/>
    <n v="139109"/>
    <s v="Emma Gilchrist"/>
    <s v="Tracie Sartori"/>
    <d v="2017-02-02T00:00:00"/>
  </r>
  <r>
    <n v="695"/>
    <s v="Calgary"/>
    <n v="6077"/>
    <s v="Walden Paired"/>
    <s v="Cobalt 1"/>
    <x v="15"/>
    <n v="141286"/>
    <n v="190300"/>
    <n v="139108"/>
    <s v="Lauren Somerton"/>
    <s v="Tracie Sartori"/>
    <d v="2017-02-14T00:00:00"/>
  </r>
  <r>
    <n v="695"/>
    <s v="Calgary"/>
    <n v="3029"/>
    <s v="Walden"/>
    <s v="Sandhurst 2"/>
    <x v="17"/>
    <n v="167489"/>
    <n v="226200"/>
    <n v="146972"/>
    <s v="Taa DiGirolamo"/>
    <s v="Paul King"/>
    <d v="2017-02-28T00:00:00"/>
  </r>
  <r>
    <n v="695"/>
    <s v="Calgary"/>
    <n v="3029"/>
    <s v="Walden"/>
    <s v="Sandhurst 2"/>
    <x v="17"/>
    <n v="167489"/>
    <n v="226200"/>
    <n v="146972"/>
    <s v="Steve Adjuya"/>
    <s v="Paul King"/>
    <d v="2017-03-02T00:00:00"/>
  </r>
  <r>
    <n v="695"/>
    <s v="Calgary"/>
    <n v="6077"/>
    <s v="Walden Paired"/>
    <s v="Iris 1"/>
    <x v="3"/>
    <n v="150167"/>
    <n v="200700"/>
    <n v="141145"/>
    <s v="Milan Mitic"/>
    <s v="Tracie Sartori"/>
    <d v="2017-03-02T00:00:00"/>
  </r>
  <r>
    <n v="695"/>
    <s v="Calgary"/>
    <n v="4249"/>
    <s v="Shawnee Park"/>
    <s v="Miro"/>
    <x v="28"/>
    <n v="206317"/>
    <n v="288900"/>
    <n v="148038"/>
    <s v="Patrick Quinn"/>
    <s v="Jon Mortier"/>
    <d v="2017-03-07T00:00:00"/>
  </r>
  <r>
    <n v="695"/>
    <s v="Calgary"/>
    <n v="4249"/>
    <s v="Shawnee Park"/>
    <s v="Selkirk 2"/>
    <x v="29"/>
    <n v="261239"/>
    <n v="352700"/>
    <n v="121235"/>
    <s v="Carla Corral Aliaga"/>
    <s v="Jon Mortier"/>
    <d v="2017-03-13T00:00:00"/>
  </r>
  <r>
    <n v="695"/>
    <s v="Calgary"/>
    <n v="6108"/>
    <s v="Savanna Paired"/>
    <s v="Eton"/>
    <x v="19"/>
    <n v="145710"/>
    <n v="198100"/>
    <n v="146794"/>
    <s v="Tito Andrei Magistrado Fontanos"/>
    <s v="Tabi Lam"/>
    <d v="2017-03-31T00:00:00"/>
  </r>
  <r>
    <n v="695"/>
    <s v="Calgary"/>
    <n v="6077"/>
    <s v="Walden Paired"/>
    <s v="Indigo 1"/>
    <x v="9"/>
    <n v="150080"/>
    <n v="200500"/>
    <n v="139109"/>
    <s v="Vincent McLean"/>
    <s v="Tracie Sartori"/>
    <d v="2017-04-03T00:00:00"/>
  </r>
  <r>
    <n v="695"/>
    <s v="Calgary"/>
    <n v="4249"/>
    <s v="Shawnee Park"/>
    <s v="Larch"/>
    <x v="27"/>
    <n v="239995"/>
    <n v="336000"/>
    <n v="121229"/>
    <s v="Szabolcs Pal"/>
    <s v="Jon Mortier"/>
    <d v="2017-04-06T00:00:00"/>
  </r>
  <r>
    <n v="695"/>
    <s v="Calgary"/>
    <n v="6077"/>
    <s v="Walden Paired"/>
    <s v="Cobalt 1"/>
    <x v="15"/>
    <n v="141286"/>
    <n v="190300"/>
    <n v="139108"/>
    <s v="Wency Gannaban"/>
    <s v="Tracie Sartori"/>
    <d v="2017-04-07T00:00:00"/>
  </r>
  <r>
    <n v="695"/>
    <s v="Calgary"/>
    <n v="6077"/>
    <s v="Walden Paired"/>
    <s v="Cobalt 1"/>
    <x v="15"/>
    <n v="141286"/>
    <n v="190300"/>
    <n v="139108"/>
    <s v="Maria(Theresa) Gannaban"/>
    <s v="Tracie Sartori"/>
    <d v="2017-04-13T00:00:00"/>
  </r>
  <r>
    <n v="695"/>
    <s v="Calgary"/>
    <n v="6147"/>
    <s v="Savanna"/>
    <s v="Sabal"/>
    <x v="6"/>
    <n v="206046"/>
    <n v="276850"/>
    <n v="143989"/>
    <s v="Sukhman Singh Johal"/>
    <s v="Tabi Lam"/>
    <d v="2017-04-17T00:00:00"/>
  </r>
  <r>
    <n v="695"/>
    <s v="Calgary"/>
    <n v="6147"/>
    <s v="Savanna"/>
    <s v="Aster"/>
    <x v="22"/>
    <n v="216540"/>
    <n v="293650"/>
    <n v="150542"/>
    <s v="Rony Barua"/>
    <s v="Tabi Lam"/>
    <d v="2017-04-17T00:00:00"/>
  </r>
  <r>
    <n v="695"/>
    <s v="Calgary"/>
    <n v="6147"/>
    <s v="Savanna"/>
    <s v="Sabal"/>
    <x v="6"/>
    <n v="206046"/>
    <n v="276850"/>
    <n v="143989"/>
    <s v="Jatinder Vir Si Toor"/>
    <s v="Tabi Lam"/>
    <d v="2017-04-17T00:00:00"/>
  </r>
  <r>
    <n v="695"/>
    <s v="Calgary"/>
    <n v="6147"/>
    <s v="Savanna"/>
    <s v="Sabal"/>
    <x v="6"/>
    <n v="206046"/>
    <n v="276850"/>
    <n v="143989"/>
    <s v="Gurlal Singh Dhaliwal"/>
    <s v="Tabi Lam"/>
    <d v="2017-04-17T00:00:00"/>
  </r>
  <r>
    <n v="695"/>
    <s v="Calgary"/>
    <n v="6147"/>
    <s v="Savanna"/>
    <s v="Aster"/>
    <x v="22"/>
    <n v="216540"/>
    <n v="293650"/>
    <n v="150542"/>
    <s v="Gagandeep Singh"/>
    <s v="Tabi Lam"/>
    <d v="2017-04-25T00:00:00"/>
  </r>
  <r>
    <n v="695"/>
    <s v="Calgary"/>
    <n v="6147"/>
    <s v="Savanna"/>
    <s v="Sabal"/>
    <x v="6"/>
    <n v="206046"/>
    <n v="276850"/>
    <n v="143989"/>
    <s v="Rubbeldeep Kaur Brar"/>
    <s v="Tabi Lam"/>
    <d v="2017-04-25T00:00:00"/>
  </r>
  <r>
    <n v="695"/>
    <s v="Calgary"/>
    <n v="6147"/>
    <s v="Savanna"/>
    <s v="Emerge"/>
    <x v="7"/>
    <n v="189146"/>
    <n v="257250"/>
    <n v="143988"/>
    <s v="Gurdev Singh"/>
    <s v="Tabi Lam"/>
    <d v="2017-04-27T00:00:00"/>
  </r>
  <r>
    <n v="695"/>
    <s v="Calgary"/>
    <n v="6147"/>
    <s v="Savanna"/>
    <s v="Aster"/>
    <x v="22"/>
    <n v="216540"/>
    <n v="293650"/>
    <n v="150542"/>
    <s v="Hakam Singh Brar"/>
    <s v="Tabi Lam"/>
    <d v="2017-04-27T00:00:00"/>
  </r>
  <r>
    <n v="695"/>
    <s v="Calgary"/>
    <n v="6147"/>
    <s v="Savanna"/>
    <s v="Sabal"/>
    <x v="6"/>
    <n v="206046"/>
    <n v="276850"/>
    <n v="143989"/>
    <s v="Imran Zahid"/>
    <s v="Tabi Lam"/>
    <d v="2017-04-27T00:00:00"/>
  </r>
  <r>
    <n v="695"/>
    <s v="Calgary"/>
    <n v="6147"/>
    <s v="Savanna"/>
    <s v="Sabal"/>
    <x v="6"/>
    <n v="206046"/>
    <n v="276850"/>
    <n v="143989"/>
    <s v="Gagandeep Singh Cheema"/>
    <s v="Tabi Lam"/>
    <d v="2017-05-01T00:00:00"/>
  </r>
  <r>
    <n v="695"/>
    <s v="Calgary"/>
    <n v="6147"/>
    <s v="Savanna"/>
    <s v="Sabal"/>
    <x v="6"/>
    <n v="206046"/>
    <n v="276850"/>
    <n v="143989"/>
    <s v="Kamran Murad"/>
    <s v="Tabi Lam"/>
    <d v="2017-05-01T00:00:00"/>
  </r>
  <r>
    <n v="695"/>
    <s v="Calgary"/>
    <n v="6147"/>
    <s v="Savanna"/>
    <s v="Sabal"/>
    <x v="6"/>
    <n v="206046"/>
    <n v="276850"/>
    <n v="143989"/>
    <s v="Saeed Ahmad"/>
    <s v="Tabi Lam"/>
    <d v="2017-05-03T00:00:00"/>
  </r>
  <r>
    <n v="695"/>
    <s v="Calgary"/>
    <n v="3029"/>
    <s v="Walden"/>
    <s v="Tandem Bay"/>
    <x v="4"/>
    <n v="198834"/>
    <n v="268500"/>
    <n v="86003"/>
    <s v="Karen Day"/>
    <s v="Paul King"/>
    <d v="2017-05-03T00:00:00"/>
  </r>
  <r>
    <n v="695"/>
    <s v="Calgary"/>
    <n v="3029"/>
    <s v="Walden"/>
    <s v="Colbourne 3"/>
    <x v="23"/>
    <n v="196676"/>
    <n v="268700"/>
    <n v="86005"/>
    <s v="Kristian Tzenov"/>
    <s v="Paul King"/>
    <d v="2017-05-03T00:00:00"/>
  </r>
  <r>
    <n v="695"/>
    <s v="Calgary"/>
    <n v="6077"/>
    <s v="Walden Paired"/>
    <s v="Soho 3"/>
    <x v="18"/>
    <n v="135463"/>
    <n v="180800"/>
    <n v="141148"/>
    <s v="Sarah Erhabor"/>
    <s v="Tracie Sartori"/>
    <d v="2017-05-04T00:00:00"/>
  </r>
  <r>
    <n v="695"/>
    <s v="Calgary"/>
    <n v="3029"/>
    <s v="Walden"/>
    <s v="Harmony"/>
    <x v="30"/>
    <n v="187995"/>
    <n v="253800"/>
    <n v="86006"/>
    <s v="Martin Wright"/>
    <s v="Paul King"/>
    <d v="2017-05-08T00:00:00"/>
  </r>
  <r>
    <n v="695"/>
    <s v="Calgary"/>
    <n v="3029"/>
    <s v="Walden"/>
    <s v="Sandhurst 2"/>
    <x v="17"/>
    <n v="167489"/>
    <n v="226200"/>
    <n v="146972"/>
    <s v="Jared Seufert"/>
    <s v="Paul King"/>
    <d v="2017-05-08T00:00:00"/>
  </r>
  <r>
    <n v="695"/>
    <s v="Calgary"/>
    <n v="6077"/>
    <s v="Walden Paired"/>
    <s v="Indigo 1"/>
    <x v="9"/>
    <n v="150080"/>
    <n v="200500"/>
    <n v="139109"/>
    <s v="Laurel Wandzura"/>
    <s v="Tracie Sartori"/>
    <d v="2017-05-15T00:00:00"/>
  </r>
  <r>
    <n v="695"/>
    <s v="Calgary"/>
    <n v="6077"/>
    <s v="Walden Paired"/>
    <s v="Cobalt 1"/>
    <x v="15"/>
    <n v="141286"/>
    <n v="190300"/>
    <n v="139108"/>
    <s v="Glen Larkin"/>
    <s v="Tracie Sartori"/>
    <d v="2017-05-15T00:00:00"/>
  </r>
  <r>
    <n v="695"/>
    <s v="Calgary"/>
    <n v="6333"/>
    <s v="Shawnee Park 2,5,6"/>
    <s v="Sequoia"/>
    <x v="31"/>
    <n v="273807"/>
    <n v="379600"/>
    <n v="147351"/>
    <s v="Pin Lu"/>
    <s v="Jon Mortier"/>
    <d v="2017-05-15T00:00:00"/>
  </r>
  <r>
    <n v="695"/>
    <s v="Calgary"/>
    <n v="6077"/>
    <s v="Walden Paired"/>
    <s v="Soho 1"/>
    <x v="21"/>
    <n v="136247"/>
    <n v="182000"/>
    <n v="141146"/>
    <s v="Martin Hope"/>
    <s v="Tracie Sartori"/>
    <d v="2017-05-17T00:00:00"/>
  </r>
  <r>
    <n v="695"/>
    <s v="Calgary"/>
    <n v="6147"/>
    <s v="Savanna"/>
    <s v="Sabal"/>
    <x v="6"/>
    <n v="206046"/>
    <n v="276850"/>
    <n v="143989"/>
    <s v="Avneet Kaur Bath"/>
    <s v="Tabi Lam"/>
    <d v="2017-05-29T00:00:00"/>
  </r>
  <r>
    <n v="695"/>
    <s v="Calgary"/>
    <n v="3029"/>
    <s v="Walden"/>
    <s v="Essence"/>
    <x v="10"/>
    <n v="187320"/>
    <n v="249300"/>
    <n v="106874"/>
    <s v="Michael Lariviere"/>
    <s v="Paul King"/>
    <d v="2017-06-02T00:00:00"/>
  </r>
  <r>
    <n v="695"/>
    <s v="Calgary"/>
    <n v="6077"/>
    <s v="Walden Paired"/>
    <s v="Eton"/>
    <x v="19"/>
    <n v="144085"/>
    <n v="194600"/>
    <n v="141143"/>
    <s v="Fiona Whitlie"/>
    <s v="Tracie Sartori"/>
    <d v="2017-06-05T00:00:00"/>
  </r>
  <r>
    <n v="695"/>
    <s v="Calgary"/>
    <n v="6333"/>
    <s v="Shawnee Park 2,5,6"/>
    <s v="Meyer"/>
    <x v="1"/>
    <n v="232930"/>
    <n v="320200"/>
    <n v="147347"/>
    <s v="Alison Heddle"/>
    <s v="Jon Mortier"/>
    <d v="2017-06-05T00:00:00"/>
  </r>
  <r>
    <n v="695"/>
    <s v="Calgary"/>
    <n v="6077"/>
    <s v="Walden Paired"/>
    <s v="Eton"/>
    <x v="19"/>
    <n v="144085"/>
    <n v="194600"/>
    <n v="141143"/>
    <s v="Elisabeta Loas"/>
    <s v="Tracie Sartori"/>
    <d v="2017-06-05T00:00:00"/>
  </r>
  <r>
    <n v="695"/>
    <s v="Calgary"/>
    <n v="6333"/>
    <s v="Shawnee Park 2,5,6"/>
    <s v="Fairfield Court"/>
    <x v="32"/>
    <n v="242209"/>
    <n v="335300"/>
    <n v="147518"/>
    <s v="Joshua Axelson"/>
    <s v="Jon Mortier"/>
    <d v="2017-06-05T00:00:00"/>
  </r>
  <r>
    <n v="695"/>
    <s v="Calgary"/>
    <n v="6333"/>
    <s v="Shawnee Park 2,5,6"/>
    <s v="Meyer"/>
    <x v="1"/>
    <n v="232930"/>
    <n v="320200"/>
    <n v="147347"/>
    <s v="Xuejin Guo"/>
    <s v="Jon Mortier"/>
    <d v="2017-06-05T00:00:00"/>
  </r>
  <r>
    <n v="695"/>
    <s v="Calgary"/>
    <n v="6147"/>
    <s v="Savanna"/>
    <s v="Aster"/>
    <x v="22"/>
    <n v="216540"/>
    <n v="293650"/>
    <n v="150542"/>
    <s v="Jetinder Singh Bath"/>
    <s v="Tabi Lam"/>
    <d v="2017-06-07T00:00:00"/>
  </r>
  <r>
    <n v="695"/>
    <s v="Calgary"/>
    <n v="6077"/>
    <s v="Walden Paired"/>
    <s v="Indigo 1"/>
    <x v="9"/>
    <n v="150080"/>
    <n v="200500"/>
    <n v="139109"/>
    <s v="Ifeola Adeoye"/>
    <s v="Tracie Sartori"/>
    <d v="2017-06-07T00:00:00"/>
  </r>
  <r>
    <n v="695"/>
    <s v="Calgary"/>
    <n v="6108"/>
    <s v="Savanna Paired"/>
    <s v="Cobalt 1"/>
    <x v="15"/>
    <n v="141271"/>
    <n v="192200"/>
    <n v="146791"/>
    <s v="Olugbenga Emmanuel Adebayo"/>
    <s v="Tabi Lam"/>
    <d v="2017-06-15T00:00:00"/>
  </r>
  <r>
    <n v="695"/>
    <s v="Calgary"/>
    <n v="4249"/>
    <s v="Shawnee Park"/>
    <s v="Larch"/>
    <x v="27"/>
    <n v="239995"/>
    <n v="336000"/>
    <n v="121229"/>
    <s v="Damu Gopalkrishna Murti"/>
    <s v="Jon Mortier"/>
    <d v="2017-06-16T00:00:00"/>
  </r>
  <r>
    <n v="695"/>
    <s v="Calgary"/>
    <n v="6077"/>
    <s v="Walden Paired"/>
    <s v="Indigo 1"/>
    <x v="9"/>
    <n v="150080"/>
    <n v="200500"/>
    <n v="139109"/>
    <s v="Cristian Doljescu"/>
    <s v="Tracie Sartori"/>
    <d v="2017-06-16T00:00:00"/>
  </r>
  <r>
    <n v="695"/>
    <s v="Calgary"/>
    <n v="3029"/>
    <s v="Walden"/>
    <s v="Tandem Bay 2"/>
    <x v="0"/>
    <n v="209362"/>
    <n v="278600"/>
    <n v="87860"/>
    <s v="Kelly Cowan"/>
    <s v="Paul King"/>
    <d v="2017-06-19T00:00:00"/>
  </r>
  <r>
    <n v="695"/>
    <s v="Calgary"/>
    <n v="6333"/>
    <s v="Shawnee Park 2,5,6"/>
    <s v="Selkirk 2"/>
    <x v="29"/>
    <n v="268539"/>
    <n v="371800"/>
    <n v="147753"/>
    <s v="Kristos Iatridis"/>
    <s v="Jon Mortier"/>
    <d v="2017-07-05T00:00:00"/>
  </r>
  <r>
    <n v="695"/>
    <s v="Calgary"/>
    <n v="6333"/>
    <s v="Shawnee Park 2,5,6"/>
    <s v="Meyer"/>
    <x v="1"/>
    <n v="232930"/>
    <n v="320200"/>
    <n v="147347"/>
    <s v="Jia Qiu"/>
    <s v="Jon Mortier"/>
    <d v="2017-07-11T00:00:00"/>
  </r>
  <r>
    <n v="695"/>
    <s v="Calgary"/>
    <n v="6333"/>
    <s v="Shawnee Park 2,5,6"/>
    <s v="Meyer"/>
    <x v="1"/>
    <n v="232930"/>
    <n v="320200"/>
    <n v="147347"/>
    <s v="Joanna Wrobel"/>
    <s v="Jon Mortier"/>
    <d v="2017-07-17T00:00:00"/>
  </r>
  <r>
    <n v="695"/>
    <s v="Calgary"/>
    <n v="3029"/>
    <s v="Walden"/>
    <s v="Essence 2"/>
    <x v="33"/>
    <n v="173833"/>
    <n v="193000"/>
    <n v="158877"/>
    <s v="Shirly Rosario"/>
    <s v="Paul King"/>
    <d v="2017-07-18T00:00:00"/>
  </r>
  <r>
    <n v="695"/>
    <s v="Calgary"/>
    <n v="6147"/>
    <s v="Savanna"/>
    <s v="Sabal"/>
    <x v="6"/>
    <n v="206046"/>
    <n v="276850"/>
    <n v="143989"/>
    <s v="Shahabuddin Noori"/>
    <s v="Tabi Lam"/>
    <d v="2017-07-19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C4:D39" firstHeaderRow="1" firstDataRow="1" firstDataCol="1"/>
  <pivotFields count="12"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35">
        <item x="22"/>
        <item x="24"/>
        <item x="20"/>
        <item x="25"/>
        <item x="15"/>
        <item x="11"/>
        <item x="12"/>
        <item x="23"/>
        <item x="5"/>
        <item x="7"/>
        <item x="10"/>
        <item x="33"/>
        <item x="2"/>
        <item x="19"/>
        <item x="32"/>
        <item x="30"/>
        <item x="9"/>
        <item x="26"/>
        <item x="3"/>
        <item x="27"/>
        <item x="1"/>
        <item x="28"/>
        <item x="6"/>
        <item x="16"/>
        <item x="17"/>
        <item x="29"/>
        <item x="31"/>
        <item x="21"/>
        <item x="18"/>
        <item x="13"/>
        <item x="14"/>
        <item x="4"/>
        <item x="0"/>
        <item x="8"/>
        <item t="default"/>
      </items>
    </pivotField>
    <pivotField subtotalTop="0" showAll="0"/>
    <pivotField subtotalTop="0" showAll="0"/>
    <pivotField subtotalTop="0" showAll="0"/>
    <pivotField dataField="1" subtotalTop="0" showAll="0"/>
    <pivotField subtotalTop="0" showAll="0"/>
    <pivotField numFmtId="22" subtotalTop="0" showAll="0"/>
  </pivotFields>
  <rowFields count="1">
    <field x="5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dataFields count="1">
    <dataField name="Count of Buyer" fld="9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rySubdivision" backgroundRefresh="0" fillFormulas="1" adjustColumnWidth="0" connectionId="2" autoFormatId="16" applyNumberFormats="0" applyBorderFormats="0" applyFontFormats="1" applyPatternFormats="1" applyAlignmentFormats="0" applyWidthHeightFormats="0">
  <queryTableRefresh nextId="3">
    <queryTableFields count="1">
      <queryTableField id="2" name="Marketing Name"/>
    </queryTableFields>
  </queryTableRefresh>
</queryTable>
</file>

<file path=xl/queryTables/queryTable2.xml><?xml version="1.0" encoding="utf-8"?>
<queryTable xmlns="http://schemas.openxmlformats.org/spreadsheetml/2006/main" name="qryDivision" fillFormulas="1" adjustColumnWidth="0" connectionId="1" autoFormatId="16" applyNumberFormats="0" applyBorderFormats="0" applyFontFormats="1" applyPatternFormats="1" applyAlignmentFormats="0" applyWidthHeightFormats="0">
  <queryTableRefresh nextId="3">
    <queryTableFields count="2">
      <queryTableField id="1" name="Division Number"/>
      <queryTableField id="2" name="Name"/>
    </queryTableFields>
  </queryTableRefresh>
</queryTable>
</file>

<file path=xl/queryTables/queryTable3.xml><?xml version="1.0" encoding="utf-8"?>
<queryTable xmlns="http://schemas.openxmlformats.org/spreadsheetml/2006/main" name="qryDivision1" backgroundRefresh="0" fillFormulas="1" adjustColumnWidth="0" connectionId="3" autoFormatId="16" applyNumberFormats="0" applyBorderFormats="0" applyFontFormats="1" applyPatternFormats="1" applyAlignmentFormats="0" applyWidthHeightFormats="0">
  <queryTableRefresh nextId="14">
    <queryTableFields count="12">
      <queryTableField id="2" name="DivisionID"/>
      <queryTableField id="3" name="Division"/>
      <queryTableField id="4" name="SubdivisionID"/>
      <queryTableField id="5" name="Subdivision"/>
      <queryTableField id="6" name="MasterPlan"/>
      <queryTableField id="7" name="PhasePlan"/>
      <queryTableField id="8" name="PlanCost"/>
      <queryTableField id="9" name="PlanPrice"/>
      <queryTableField id="10" name="PhasePlanID"/>
      <queryTableField id="11" name="Buyer"/>
      <queryTableField id="12" name="UsrName"/>
      <queryTableField id="13" name="SoldDat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kb.event1software.com/questions/45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Information">
    <tabColor rgb="FFFFC000"/>
  </sheetPr>
  <dimension ref="B2:F45"/>
  <sheetViews>
    <sheetView showGridLines="0" zoomScaleNormal="100" workbookViewId="0">
      <selection activeCell="D15" sqref="D15"/>
    </sheetView>
  </sheetViews>
  <sheetFormatPr defaultRowHeight="12.75" customHeight="1" x14ac:dyDescent="0.2"/>
  <cols>
    <col min="1" max="1" width="3.7109375" style="4" customWidth="1"/>
    <col min="2" max="2" width="25.85546875" style="5" customWidth="1"/>
    <col min="3" max="3" width="2.7109375" style="4" customWidth="1"/>
    <col min="4" max="4" width="67.5703125" style="6" customWidth="1"/>
    <col min="5" max="5" width="9.140625" style="4"/>
    <col min="6" max="6" width="9.140625" style="4" customWidth="1"/>
    <col min="7" max="16384" width="9.140625" style="4"/>
  </cols>
  <sheetData>
    <row r="2" spans="2:6" ht="12.75" customHeight="1" x14ac:dyDescent="0.2">
      <c r="B2" s="23" t="s">
        <v>12</v>
      </c>
      <c r="D2" s="11" t="s">
        <v>23</v>
      </c>
    </row>
    <row r="4" spans="2:6" ht="12.75" customHeight="1" x14ac:dyDescent="0.2">
      <c r="B4" s="15" t="s">
        <v>0</v>
      </c>
      <c r="D4" s="1" t="s">
        <v>17</v>
      </c>
    </row>
    <row r="5" spans="2:6" ht="12.75" customHeight="1" x14ac:dyDescent="0.2">
      <c r="D5" s="1"/>
    </row>
    <row r="6" spans="2:6" ht="12.75" customHeight="1" x14ac:dyDescent="0.2">
      <c r="D6" s="1"/>
    </row>
    <row r="7" spans="2:6" ht="12.75" customHeight="1" x14ac:dyDescent="0.2">
      <c r="D7" s="1"/>
    </row>
    <row r="8" spans="2:6" ht="12.75" customHeight="1" x14ac:dyDescent="0.2">
      <c r="D8" s="1"/>
    </row>
    <row r="9" spans="2:6" ht="12.75" customHeight="1" thickBot="1" x14ac:dyDescent="0.25"/>
    <row r="10" spans="2:6" s="24" customFormat="1" ht="12.75" customHeight="1" thickTop="1" thickBot="1" x14ac:dyDescent="0.25">
      <c r="B10" s="25" t="s">
        <v>6</v>
      </c>
      <c r="D10" s="35" t="s">
        <v>20</v>
      </c>
      <c r="F10"/>
    </row>
    <row r="11" spans="2:6" s="24" customFormat="1" ht="26.25" thickTop="1" x14ac:dyDescent="0.2">
      <c r="B11" s="26"/>
      <c r="D11" s="8" t="s">
        <v>21</v>
      </c>
    </row>
    <row r="12" spans="2:6" s="24" customFormat="1" x14ac:dyDescent="0.2">
      <c r="B12" s="26"/>
      <c r="D12" s="27" t="s">
        <v>7</v>
      </c>
    </row>
    <row r="13" spans="2:6" s="24" customFormat="1" ht="12.75" customHeight="1" x14ac:dyDescent="0.2">
      <c r="B13" s="26"/>
      <c r="D13" s="10"/>
    </row>
    <row r="14" spans="2:6" s="24" customFormat="1" ht="12.75" customHeight="1" x14ac:dyDescent="0.2">
      <c r="B14" s="23" t="s">
        <v>2</v>
      </c>
      <c r="D14" s="7" t="s">
        <v>24</v>
      </c>
    </row>
    <row r="15" spans="2:6" s="24" customFormat="1" x14ac:dyDescent="0.2">
      <c r="B15" s="26"/>
      <c r="D15" s="7" t="s">
        <v>25</v>
      </c>
    </row>
    <row r="17" spans="2:4" ht="12.75" customHeight="1" x14ac:dyDescent="0.2">
      <c r="B17" s="23" t="s">
        <v>15</v>
      </c>
      <c r="D17" s="2" t="s">
        <v>19</v>
      </c>
    </row>
    <row r="18" spans="2:4" ht="12.75" customHeight="1" x14ac:dyDescent="0.2">
      <c r="D18" s="2"/>
    </row>
    <row r="19" spans="2:4" ht="12.75" customHeight="1" x14ac:dyDescent="0.2">
      <c r="D19" s="2"/>
    </row>
    <row r="20" spans="2:4" ht="12.75" customHeight="1" x14ac:dyDescent="0.2">
      <c r="D20" s="2"/>
    </row>
    <row r="21" spans="2:4" ht="12.75" customHeight="1" x14ac:dyDescent="0.2">
      <c r="D21" s="2"/>
    </row>
    <row r="22" spans="2:4" ht="12.75" customHeight="1" x14ac:dyDescent="0.2">
      <c r="D22" s="2"/>
    </row>
    <row r="23" spans="2:4" ht="12.75" customHeight="1" x14ac:dyDescent="0.2">
      <c r="D23" s="2"/>
    </row>
    <row r="24" spans="2:4" ht="12.75" customHeight="1" x14ac:dyDescent="0.2">
      <c r="D24" s="2"/>
    </row>
    <row r="25" spans="2:4" ht="12.75" customHeight="1" x14ac:dyDescent="0.2">
      <c r="D25" s="2"/>
    </row>
    <row r="26" spans="2:4" ht="12.75" customHeight="1" x14ac:dyDescent="0.2">
      <c r="D26" s="2"/>
    </row>
    <row r="27" spans="2:4" ht="12.75" customHeight="1" x14ac:dyDescent="0.2">
      <c r="D27" s="2"/>
    </row>
    <row r="28" spans="2:4" ht="12.75" customHeight="1" x14ac:dyDescent="0.2">
      <c r="D28" s="2"/>
    </row>
    <row r="29" spans="2:4" ht="12.75" customHeight="1" x14ac:dyDescent="0.2">
      <c r="D29" s="2"/>
    </row>
    <row r="30" spans="2:4" ht="12.75" customHeight="1" x14ac:dyDescent="0.2">
      <c r="D30" s="2"/>
    </row>
    <row r="31" spans="2:4" ht="12.75" customHeight="1" x14ac:dyDescent="0.2">
      <c r="D31" s="2"/>
    </row>
    <row r="32" spans="2:4" ht="12.75" customHeight="1" x14ac:dyDescent="0.2">
      <c r="D32" s="2"/>
    </row>
    <row r="33" spans="2:4" ht="12.75" customHeight="1" x14ac:dyDescent="0.2">
      <c r="D33" s="2"/>
    </row>
    <row r="34" spans="2:4" ht="12.75" customHeight="1" x14ac:dyDescent="0.2">
      <c r="D34" s="2"/>
    </row>
    <row r="35" spans="2:4" ht="12.75" customHeight="1" x14ac:dyDescent="0.2">
      <c r="D35" s="2"/>
    </row>
    <row r="37" spans="2:4" ht="12.75" customHeight="1" x14ac:dyDescent="0.2">
      <c r="B37" s="3" t="s">
        <v>1</v>
      </c>
      <c r="D37" s="2" t="s">
        <v>11</v>
      </c>
    </row>
    <row r="38" spans="2:4" ht="12.75" customHeight="1" x14ac:dyDescent="0.2">
      <c r="D38" s="2"/>
    </row>
    <row r="39" spans="2:4" ht="12.75" customHeight="1" x14ac:dyDescent="0.2">
      <c r="D39" s="2"/>
    </row>
    <row r="40" spans="2:4" ht="12.75" customHeight="1" x14ac:dyDescent="0.2">
      <c r="D40" s="2"/>
    </row>
    <row r="41" spans="2:4" ht="12.75" customHeight="1" x14ac:dyDescent="0.2">
      <c r="D41" s="2"/>
    </row>
    <row r="42" spans="2:4" ht="12.75" customHeight="1" x14ac:dyDescent="0.2">
      <c r="D42" s="2"/>
    </row>
    <row r="44" spans="2:4" ht="12.75" customHeight="1" x14ac:dyDescent="0.2">
      <c r="B44" s="3" t="s">
        <v>3</v>
      </c>
      <c r="D44" s="36" t="s">
        <v>22</v>
      </c>
    </row>
    <row r="45" spans="2:4" ht="12.75" customHeight="1" x14ac:dyDescent="0.2">
      <c r="D45" s="12">
        <v>42671.372476504628</v>
      </c>
    </row>
  </sheetData>
  <mergeCells count="3">
    <mergeCell ref="D37:D42"/>
    <mergeCell ref="D17:D35"/>
    <mergeCell ref="D4:D8"/>
  </mergeCells>
  <phoneticPr fontId="7" type="noConversion"/>
  <hyperlinks>
    <hyperlink ref="D12" r:id="rId1"/>
  </hyperlinks>
  <pageMargins left="0.7" right="0.7" top="0.75" bottom="0.75" header="0.3" footer="0.3"/>
  <pageSetup scale="91" orientation="portrait" horizontalDpi="90" verticalDpi="90" r:id="rId2"/>
  <headerFooter>
    <oddHeader>&amp;L&amp;"Arial,Bold"Event 1 Liberty Reports
for Vista by Viewpoint&amp;C&amp;"-,Bold"&amp;16Report Title&amp;14
&amp;11Instructions&amp;R&amp;"Arial,Bold"&amp;D
&amp;T</oddHeader>
    <oddFooter>&amp;L&amp;Z&amp;F&amp;RPage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Admin">
    <pageSetUpPr autoPageBreaks="0"/>
  </sheetPr>
  <dimension ref="B1:T56"/>
  <sheetViews>
    <sheetView showGridLines="0" tabSelected="1" zoomScaleNormal="100" workbookViewId="0">
      <selection activeCell="U14" sqref="U14"/>
    </sheetView>
  </sheetViews>
  <sheetFormatPr defaultColWidth="8.7109375" defaultRowHeight="15.95" customHeight="1" x14ac:dyDescent="0.2"/>
  <cols>
    <col min="1" max="1" width="8.7109375" style="13"/>
    <col min="2" max="2" width="13.42578125" style="13" bestFit="1" customWidth="1"/>
    <col min="3" max="3" width="19.5703125" style="16" bestFit="1" customWidth="1"/>
    <col min="4" max="7" width="10.7109375" style="13" customWidth="1"/>
    <col min="8" max="15" width="8.7109375" style="13"/>
    <col min="16" max="16" width="8" style="13" hidden="1" customWidth="1"/>
    <col min="17" max="17" width="16" style="13" hidden="1" customWidth="1"/>
    <col min="18" max="18" width="18.140625" style="13" hidden="1" customWidth="1"/>
    <col min="19" max="19" width="19.5703125" style="13" hidden="1" customWidth="1"/>
    <col min="20" max="20" width="40.7109375" style="13" hidden="1" customWidth="1"/>
    <col min="21" max="16384" width="8.7109375" style="13"/>
  </cols>
  <sheetData>
    <row r="1" spans="2:19" ht="12.75" x14ac:dyDescent="0.2">
      <c r="Q1" s="37" t="s">
        <v>28</v>
      </c>
      <c r="R1" s="37" t="s">
        <v>29</v>
      </c>
      <c r="S1" s="37" t="s">
        <v>44</v>
      </c>
    </row>
    <row r="2" spans="2:19" ht="18.75" thickBot="1" x14ac:dyDescent="0.3">
      <c r="B2" s="45" t="s">
        <v>5</v>
      </c>
      <c r="C2" s="45"/>
      <c r="D2" s="45"/>
      <c r="E2" s="45"/>
      <c r="F2" s="45"/>
      <c r="G2" s="45"/>
      <c r="Q2" s="13" t="s">
        <v>30</v>
      </c>
      <c r="R2" s="13" t="s">
        <v>31</v>
      </c>
      <c r="S2" s="13" t="s">
        <v>45</v>
      </c>
    </row>
    <row r="3" spans="2:19" ht="13.5" thickTop="1" x14ac:dyDescent="0.2">
      <c r="Q3" s="13" t="s">
        <v>32</v>
      </c>
      <c r="R3" s="13" t="s">
        <v>33</v>
      </c>
      <c r="S3" s="13" t="s">
        <v>46</v>
      </c>
    </row>
    <row r="4" spans="2:19" ht="12.75" x14ac:dyDescent="0.2">
      <c r="B4"/>
      <c r="Q4" s="13" t="s">
        <v>34</v>
      </c>
      <c r="R4" s="13" t="s">
        <v>35</v>
      </c>
      <c r="S4" s="13" t="s">
        <v>47</v>
      </c>
    </row>
    <row r="5" spans="2:19" ht="15" x14ac:dyDescent="0.25">
      <c r="B5" s="39" t="s">
        <v>78</v>
      </c>
      <c r="C5" s="38" t="s">
        <v>31</v>
      </c>
      <c r="Q5" s="13" t="s">
        <v>36</v>
      </c>
      <c r="R5" s="13" t="s">
        <v>37</v>
      </c>
      <c r="S5" s="13" t="s">
        <v>48</v>
      </c>
    </row>
    <row r="6" spans="2:19" ht="12.75" x14ac:dyDescent="0.2">
      <c r="Q6" s="13" t="s">
        <v>38</v>
      </c>
      <c r="R6" s="13" t="s">
        <v>39</v>
      </c>
      <c r="S6" s="13" t="s">
        <v>49</v>
      </c>
    </row>
    <row r="7" spans="2:19" ht="12.75" x14ac:dyDescent="0.2">
      <c r="B7"/>
      <c r="Q7" s="13" t="s">
        <v>40</v>
      </c>
      <c r="R7" s="13" t="s">
        <v>41</v>
      </c>
      <c r="S7" s="13" t="s">
        <v>50</v>
      </c>
    </row>
    <row r="8" spans="2:19" ht="15" x14ac:dyDescent="0.25">
      <c r="B8" s="39" t="s">
        <v>79</v>
      </c>
      <c r="C8" s="38" t="s">
        <v>53</v>
      </c>
      <c r="Q8" s="13" t="s">
        <v>42</v>
      </c>
      <c r="R8" s="13" t="s">
        <v>43</v>
      </c>
      <c r="S8" s="13" t="s">
        <v>51</v>
      </c>
    </row>
    <row r="9" spans="2:19" ht="12.75" x14ac:dyDescent="0.2">
      <c r="B9"/>
      <c r="S9" s="13" t="s">
        <v>52</v>
      </c>
    </row>
    <row r="10" spans="2:19" ht="12.75" x14ac:dyDescent="0.2">
      <c r="S10" s="13" t="s">
        <v>53</v>
      </c>
    </row>
    <row r="11" spans="2:19" ht="15" x14ac:dyDescent="0.25">
      <c r="B11" s="39" t="s">
        <v>80</v>
      </c>
      <c r="C11" s="40">
        <v>42736</v>
      </c>
      <c r="S11" s="13" t="s">
        <v>39</v>
      </c>
    </row>
    <row r="12" spans="2:19" ht="12.75" x14ac:dyDescent="0.2">
      <c r="B12"/>
      <c r="C12"/>
      <c r="S12" s="13" t="s">
        <v>54</v>
      </c>
    </row>
    <row r="13" spans="2:19" ht="15" x14ac:dyDescent="0.25">
      <c r="B13" s="39" t="s">
        <v>81</v>
      </c>
      <c r="C13" s="40">
        <v>42935</v>
      </c>
      <c r="S13" s="13" t="s">
        <v>55</v>
      </c>
    </row>
    <row r="14" spans="2:19" ht="12.75" x14ac:dyDescent="0.2">
      <c r="S14" s="13" t="s">
        <v>56</v>
      </c>
    </row>
    <row r="15" spans="2:19" ht="12.75" x14ac:dyDescent="0.2">
      <c r="S15" s="13" t="s">
        <v>57</v>
      </c>
    </row>
    <row r="16" spans="2:19" ht="12.75" x14ac:dyDescent="0.2">
      <c r="S16" s="13" t="s">
        <v>58</v>
      </c>
    </row>
    <row r="17" spans="19:19" ht="12.75" x14ac:dyDescent="0.2">
      <c r="S17" s="13" t="s">
        <v>59</v>
      </c>
    </row>
    <row r="18" spans="19:19" ht="12.75" x14ac:dyDescent="0.2">
      <c r="S18" s="13" t="s">
        <v>60</v>
      </c>
    </row>
    <row r="19" spans="19:19" ht="12.75" x14ac:dyDescent="0.2">
      <c r="S19" s="13" t="s">
        <v>61</v>
      </c>
    </row>
    <row r="20" spans="19:19" ht="12.75" x14ac:dyDescent="0.2">
      <c r="S20" s="13" t="s">
        <v>62</v>
      </c>
    </row>
    <row r="21" spans="19:19" ht="12.75" x14ac:dyDescent="0.2">
      <c r="S21" s="13" t="s">
        <v>63</v>
      </c>
    </row>
    <row r="22" spans="19:19" ht="12.75" x14ac:dyDescent="0.2">
      <c r="S22" s="13" t="s">
        <v>64</v>
      </c>
    </row>
    <row r="23" spans="19:19" ht="12.75" x14ac:dyDescent="0.2">
      <c r="S23" s="13" t="s">
        <v>65</v>
      </c>
    </row>
    <row r="24" spans="19:19" ht="12.75" x14ac:dyDescent="0.2">
      <c r="S24" s="13" t="s">
        <v>66</v>
      </c>
    </row>
    <row r="25" spans="19:19" ht="12.75" x14ac:dyDescent="0.2">
      <c r="S25" s="13" t="s">
        <v>67</v>
      </c>
    </row>
    <row r="26" spans="19:19" ht="12.75" x14ac:dyDescent="0.2">
      <c r="S26" s="13" t="s">
        <v>68</v>
      </c>
    </row>
    <row r="27" spans="19:19" ht="12.75" x14ac:dyDescent="0.2">
      <c r="S27" s="13" t="s">
        <v>69</v>
      </c>
    </row>
    <row r="28" spans="19:19" ht="12.75" x14ac:dyDescent="0.2">
      <c r="S28" s="13" t="s">
        <v>70</v>
      </c>
    </row>
    <row r="29" spans="19:19" ht="12.75" x14ac:dyDescent="0.2">
      <c r="S29" s="13" t="s">
        <v>71</v>
      </c>
    </row>
    <row r="30" spans="19:19" ht="12.75" x14ac:dyDescent="0.2">
      <c r="S30" s="13" t="s">
        <v>72</v>
      </c>
    </row>
    <row r="31" spans="19:19" ht="12.75" x14ac:dyDescent="0.2">
      <c r="S31" s="13" t="s">
        <v>73</v>
      </c>
    </row>
    <row r="32" spans="19:19" ht="12.75" x14ac:dyDescent="0.2">
      <c r="S32" s="13" t="s">
        <v>74</v>
      </c>
    </row>
    <row r="33" spans="19:19" ht="12.75" x14ac:dyDescent="0.2">
      <c r="S33" s="13" t="s">
        <v>75</v>
      </c>
    </row>
    <row r="34" spans="19:19" ht="12.75" x14ac:dyDescent="0.2">
      <c r="S34" s="13" t="s">
        <v>76</v>
      </c>
    </row>
    <row r="35" spans="19:19" ht="12.75" x14ac:dyDescent="0.2">
      <c r="S35" s="13" t="s">
        <v>77</v>
      </c>
    </row>
    <row r="36" spans="19:19" ht="12.75" x14ac:dyDescent="0.2"/>
    <row r="37" spans="19:19" ht="12.75" x14ac:dyDescent="0.2"/>
    <row r="38" spans="19:19" ht="12.75" x14ac:dyDescent="0.2"/>
    <row r="39" spans="19:19" ht="12.75" x14ac:dyDescent="0.2"/>
    <row r="40" spans="19:19" ht="12.75" x14ac:dyDescent="0.2"/>
    <row r="41" spans="19:19" ht="12.75" x14ac:dyDescent="0.2"/>
    <row r="42" spans="19:19" ht="12.75" x14ac:dyDescent="0.2"/>
    <row r="43" spans="19:19" ht="12.75" x14ac:dyDescent="0.2"/>
    <row r="44" spans="19:19" ht="12.75" x14ac:dyDescent="0.2"/>
    <row r="45" spans="19:19" ht="12.75" x14ac:dyDescent="0.2"/>
    <row r="46" spans="19:19" ht="12.75" x14ac:dyDescent="0.2"/>
    <row r="47" spans="19:19" ht="12.75" x14ac:dyDescent="0.2"/>
    <row r="48" spans="19:19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</sheetData>
  <mergeCells count="1">
    <mergeCell ref="B2:G2"/>
  </mergeCells>
  <phoneticPr fontId="9" type="noConversion"/>
  <dataValidations count="4">
    <dataValidation type="list" allowBlank="1" showInputMessage="1" showErrorMessage="1" sqref="C5">
      <formula1>$R$2:$R$9</formula1>
    </dataValidation>
    <dataValidation type="list" allowBlank="1" showInputMessage="1" showErrorMessage="1" sqref="C8">
      <formula1>qrySubdivision</formula1>
    </dataValidation>
    <dataValidation errorStyle="information" allowBlank="1" showInputMessage="1" showErrorMessage="1" errorTitle="Need To Date" error="Please Enter &quot;From Date&quot;" prompt="Enter Date...." sqref="C11:C12"/>
    <dataValidation errorStyle="information" allowBlank="1" showInputMessage="1" showErrorMessage="1" errorTitle="Please Enter Date" error="Please Enter &quot;To Date&quot;" prompt="Enter Date...." sqref="C13"/>
  </dataValidations>
  <printOptions horizontalCentered="1"/>
  <pageMargins left="0.7" right="0.7" top="0.75" bottom="0.75" header="0.3" footer="0.3"/>
  <pageSetup orientation="portrait" verticalDpi="90" r:id="rId1"/>
  <headerFooter>
    <oddHeader>&amp;L&amp;"Arial,Bold"Event 1 Liberty Reports
for Vista by Viewpoint&amp;C&amp;"Arial,Bold"&amp;16Report Title&amp;"-,Regular"&amp;11
&amp;"Arial,Bold"Report Parameters&amp;R&amp;"Arial,Bold"&amp;D
&amp;T</oddHeader>
    <oddFooter>&amp;L&amp;Z&amp;F&amp;RPage &amp;P of &amp;N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C4:D39"/>
  <sheetViews>
    <sheetView workbookViewId="0">
      <selection activeCell="V11" sqref="V11"/>
    </sheetView>
  </sheetViews>
  <sheetFormatPr defaultRowHeight="12.75" x14ac:dyDescent="0.2"/>
  <cols>
    <col min="3" max="3" width="31.5703125" bestFit="1" customWidth="1"/>
    <col min="4" max="4" width="14.5703125" bestFit="1" customWidth="1"/>
  </cols>
  <sheetData>
    <row r="4" spans="3:4" x14ac:dyDescent="0.2">
      <c r="C4" s="42" t="s">
        <v>192</v>
      </c>
      <c r="D4" t="s">
        <v>194</v>
      </c>
    </row>
    <row r="5" spans="3:4" x14ac:dyDescent="0.2">
      <c r="C5" s="43" t="s">
        <v>118</v>
      </c>
      <c r="D5" s="44">
        <v>12</v>
      </c>
    </row>
    <row r="6" spans="3:4" x14ac:dyDescent="0.2">
      <c r="C6" s="43" t="s">
        <v>120</v>
      </c>
      <c r="D6" s="44">
        <v>2</v>
      </c>
    </row>
    <row r="7" spans="3:4" x14ac:dyDescent="0.2">
      <c r="C7" s="43" t="s">
        <v>116</v>
      </c>
      <c r="D7" s="44">
        <v>1</v>
      </c>
    </row>
    <row r="8" spans="3:4" x14ac:dyDescent="0.2">
      <c r="C8" s="43" t="s">
        <v>122</v>
      </c>
      <c r="D8" s="44">
        <v>1</v>
      </c>
    </row>
    <row r="9" spans="3:4" x14ac:dyDescent="0.2">
      <c r="C9" s="43" t="s">
        <v>111</v>
      </c>
      <c r="D9" s="44">
        <v>10</v>
      </c>
    </row>
    <row r="10" spans="3:4" x14ac:dyDescent="0.2">
      <c r="C10" s="43" t="s">
        <v>107</v>
      </c>
      <c r="D10" s="44">
        <v>2</v>
      </c>
    </row>
    <row r="11" spans="3:4" x14ac:dyDescent="0.2">
      <c r="C11" s="43" t="s">
        <v>108</v>
      </c>
      <c r="D11" s="44">
        <v>4</v>
      </c>
    </row>
    <row r="12" spans="3:4" x14ac:dyDescent="0.2">
      <c r="C12" s="43" t="s">
        <v>119</v>
      </c>
      <c r="D12" s="44">
        <v>3</v>
      </c>
    </row>
    <row r="13" spans="3:4" x14ac:dyDescent="0.2">
      <c r="C13" s="43" t="s">
        <v>100</v>
      </c>
      <c r="D13" s="44">
        <v>1</v>
      </c>
    </row>
    <row r="14" spans="3:4" x14ac:dyDescent="0.2">
      <c r="C14" s="43" t="s">
        <v>103</v>
      </c>
      <c r="D14" s="44">
        <v>7</v>
      </c>
    </row>
    <row r="15" spans="3:4" x14ac:dyDescent="0.2">
      <c r="C15" s="43" t="s">
        <v>106</v>
      </c>
      <c r="D15" s="44">
        <v>3</v>
      </c>
    </row>
    <row r="16" spans="3:4" x14ac:dyDescent="0.2">
      <c r="C16" s="43" t="s">
        <v>189</v>
      </c>
      <c r="D16" s="44">
        <v>1</v>
      </c>
    </row>
    <row r="17" spans="3:4" x14ac:dyDescent="0.2">
      <c r="C17" s="43" t="s">
        <v>96</v>
      </c>
      <c r="D17" s="44">
        <v>1</v>
      </c>
    </row>
    <row r="18" spans="3:4" x14ac:dyDescent="0.2">
      <c r="C18" s="43" t="s">
        <v>115</v>
      </c>
      <c r="D18" s="44">
        <v>8</v>
      </c>
    </row>
    <row r="19" spans="3:4" x14ac:dyDescent="0.2">
      <c r="C19" s="43" t="s">
        <v>177</v>
      </c>
      <c r="D19" s="44">
        <v>1</v>
      </c>
    </row>
    <row r="20" spans="3:4" x14ac:dyDescent="0.2">
      <c r="C20" s="43" t="s">
        <v>164</v>
      </c>
      <c r="D20" s="44">
        <v>1</v>
      </c>
    </row>
    <row r="21" spans="3:4" x14ac:dyDescent="0.2">
      <c r="C21" s="43" t="s">
        <v>105</v>
      </c>
      <c r="D21" s="44">
        <v>15</v>
      </c>
    </row>
    <row r="22" spans="3:4" x14ac:dyDescent="0.2">
      <c r="C22" s="43" t="s">
        <v>130</v>
      </c>
      <c r="D22" s="44">
        <v>1</v>
      </c>
    </row>
    <row r="23" spans="3:4" x14ac:dyDescent="0.2">
      <c r="C23" s="43" t="s">
        <v>97</v>
      </c>
      <c r="D23" s="44">
        <v>10</v>
      </c>
    </row>
    <row r="24" spans="3:4" x14ac:dyDescent="0.2">
      <c r="C24" s="43" t="s">
        <v>133</v>
      </c>
      <c r="D24" s="44">
        <v>3</v>
      </c>
    </row>
    <row r="25" spans="3:4" x14ac:dyDescent="0.2">
      <c r="C25" s="43" t="s">
        <v>94</v>
      </c>
      <c r="D25" s="44">
        <v>9</v>
      </c>
    </row>
    <row r="26" spans="3:4" x14ac:dyDescent="0.2">
      <c r="C26" s="43" t="s">
        <v>140</v>
      </c>
      <c r="D26" s="44">
        <v>1</v>
      </c>
    </row>
    <row r="27" spans="3:4" x14ac:dyDescent="0.2">
      <c r="C27" s="43" t="s">
        <v>101</v>
      </c>
      <c r="D27" s="44">
        <v>20</v>
      </c>
    </row>
    <row r="28" spans="3:4" x14ac:dyDescent="0.2">
      <c r="C28" s="43" t="s">
        <v>112</v>
      </c>
      <c r="D28" s="44">
        <v>7</v>
      </c>
    </row>
    <row r="29" spans="3:4" x14ac:dyDescent="0.2">
      <c r="C29" s="43" t="s">
        <v>113</v>
      </c>
      <c r="D29" s="44">
        <v>12</v>
      </c>
    </row>
    <row r="30" spans="3:4" x14ac:dyDescent="0.2">
      <c r="C30" s="43" t="s">
        <v>142</v>
      </c>
      <c r="D30" s="44">
        <v>2</v>
      </c>
    </row>
    <row r="31" spans="3:4" x14ac:dyDescent="0.2">
      <c r="C31" s="43" t="s">
        <v>169</v>
      </c>
      <c r="D31" s="44">
        <v>1</v>
      </c>
    </row>
    <row r="32" spans="3:4" x14ac:dyDescent="0.2">
      <c r="C32" s="43" t="s">
        <v>117</v>
      </c>
      <c r="D32" s="44">
        <v>4</v>
      </c>
    </row>
    <row r="33" spans="3:4" x14ac:dyDescent="0.2">
      <c r="C33" s="43" t="s">
        <v>114</v>
      </c>
      <c r="D33" s="44">
        <v>2</v>
      </c>
    </row>
    <row r="34" spans="3:4" x14ac:dyDescent="0.2">
      <c r="C34" s="43" t="s">
        <v>109</v>
      </c>
      <c r="D34" s="44">
        <v>1</v>
      </c>
    </row>
    <row r="35" spans="3:4" x14ac:dyDescent="0.2">
      <c r="C35" s="43" t="s">
        <v>110</v>
      </c>
      <c r="D35" s="44">
        <v>1</v>
      </c>
    </row>
    <row r="36" spans="3:4" x14ac:dyDescent="0.2">
      <c r="C36" s="43" t="s">
        <v>99</v>
      </c>
      <c r="D36" s="44">
        <v>7</v>
      </c>
    </row>
    <row r="37" spans="3:4" x14ac:dyDescent="0.2">
      <c r="C37" s="43" t="s">
        <v>92</v>
      </c>
      <c r="D37" s="44">
        <v>3</v>
      </c>
    </row>
    <row r="38" spans="3:4" x14ac:dyDescent="0.2">
      <c r="C38" s="43" t="s">
        <v>104</v>
      </c>
      <c r="D38" s="44">
        <v>1</v>
      </c>
    </row>
    <row r="39" spans="3:4" x14ac:dyDescent="0.2">
      <c r="C39" s="43" t="s">
        <v>193</v>
      </c>
      <c r="D39" s="44">
        <v>158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heet1">
    <tabColor rgb="FF00B0F0"/>
  </sheetPr>
  <dimension ref="A1:Z70"/>
  <sheetViews>
    <sheetView showGridLines="0" zoomScaleNormal="100" workbookViewId="0">
      <selection activeCell="A8" sqref="A8"/>
    </sheetView>
  </sheetViews>
  <sheetFormatPr defaultColWidth="8.7109375" defaultRowHeight="12.75" customHeight="1" x14ac:dyDescent="0.2"/>
  <cols>
    <col min="1" max="1" width="10" bestFit="1" customWidth="1"/>
    <col min="2" max="2" width="8.140625" bestFit="1" customWidth="1"/>
    <col min="3" max="3" width="13.5703125" bestFit="1" customWidth="1"/>
    <col min="4" max="4" width="18" bestFit="1" customWidth="1"/>
    <col min="5" max="6" width="31.5703125" bestFit="1" customWidth="1"/>
    <col min="7" max="7" width="9" bestFit="1" customWidth="1"/>
    <col min="8" max="8" width="9.85546875" bestFit="1" customWidth="1"/>
    <col min="9" max="9" width="12.5703125" bestFit="1" customWidth="1"/>
    <col min="10" max="10" width="28.42578125" bestFit="1" customWidth="1"/>
    <col min="11" max="11" width="15.28515625" bestFit="1" customWidth="1"/>
    <col min="12" max="12" width="14.42578125" bestFit="1" customWidth="1"/>
    <col min="13" max="13" width="33.5703125" bestFit="1" customWidth="1"/>
    <col min="14" max="14" width="112.7109375" bestFit="1" customWidth="1"/>
    <col min="15" max="23" width="8.7109375" customWidth="1"/>
  </cols>
  <sheetData>
    <row r="1" spans="1:26" ht="18.75" thickBot="1" x14ac:dyDescent="0.3">
      <c r="A1" s="31" t="s">
        <v>13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26" ht="12.75" hidden="1" customHeight="1" thickTop="1" x14ac:dyDescent="0.2"/>
    <row r="3" spans="1:26" ht="12.75" hidden="1" customHeight="1" x14ac:dyDescent="0.2">
      <c r="A3" t="str">
        <f>[1]!DBName("Sales Simplicity") &amp; ""</f>
        <v>\\JASON-PC\SQLEXPRESS\CardelAB</v>
      </c>
    </row>
    <row r="4" spans="1:26" ht="12.75" hidden="1" customHeight="1" x14ac:dyDescent="0.2"/>
    <row r="5" spans="1:26" ht="12.75" customHeight="1" thickTop="1" x14ac:dyDescent="0.2"/>
    <row r="6" spans="1:26" ht="12.75" hidden="1" customHeight="1" x14ac:dyDescent="0.3">
      <c r="M6" s="32" t="s">
        <v>14</v>
      </c>
      <c r="N6" s="33" t="s">
        <v>26</v>
      </c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ht="12.75" hidden="1" customHeight="1" x14ac:dyDescent="0.2">
      <c r="M7" s="33"/>
      <c r="N7" s="33" t="s">
        <v>18</v>
      </c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8" spans="1:26" x14ac:dyDescent="0.2">
      <c r="A8" s="39" t="s">
        <v>82</v>
      </c>
      <c r="B8" s="39" t="s">
        <v>78</v>
      </c>
      <c r="C8" s="39" t="s">
        <v>83</v>
      </c>
      <c r="D8" s="39" t="s">
        <v>79</v>
      </c>
      <c r="E8" s="39" t="s">
        <v>84</v>
      </c>
      <c r="F8" s="39" t="s">
        <v>85</v>
      </c>
      <c r="G8" s="39" t="s">
        <v>86</v>
      </c>
      <c r="H8" s="39" t="s">
        <v>87</v>
      </c>
      <c r="I8" s="39" t="s">
        <v>88</v>
      </c>
      <c r="J8" s="39" t="s">
        <v>89</v>
      </c>
      <c r="K8" s="39" t="s">
        <v>90</v>
      </c>
      <c r="L8" s="39" t="s">
        <v>91</v>
      </c>
    </row>
    <row r="9" spans="1:26" x14ac:dyDescent="0.2">
      <c r="A9">
        <v>695</v>
      </c>
      <c r="B9" t="s">
        <v>31</v>
      </c>
      <c r="C9">
        <v>3029</v>
      </c>
      <c r="D9" t="s">
        <v>61</v>
      </c>
      <c r="E9" t="s">
        <v>99</v>
      </c>
      <c r="F9" t="s">
        <v>99</v>
      </c>
      <c r="G9">
        <v>198834</v>
      </c>
      <c r="H9">
        <v>268500</v>
      </c>
      <c r="I9">
        <v>86003</v>
      </c>
      <c r="J9" t="s">
        <v>121</v>
      </c>
      <c r="K9" t="s">
        <v>93</v>
      </c>
      <c r="L9" s="41">
        <v>42738</v>
      </c>
    </row>
    <row r="10" spans="1:26" x14ac:dyDescent="0.2">
      <c r="A10">
        <v>695</v>
      </c>
      <c r="B10" t="s">
        <v>31</v>
      </c>
      <c r="C10">
        <v>3029</v>
      </c>
      <c r="D10" t="s">
        <v>61</v>
      </c>
      <c r="E10" t="s">
        <v>122</v>
      </c>
      <c r="F10" t="s">
        <v>122</v>
      </c>
      <c r="G10">
        <v>170418</v>
      </c>
      <c r="H10">
        <v>247000</v>
      </c>
      <c r="I10">
        <v>87844</v>
      </c>
      <c r="J10" t="s">
        <v>123</v>
      </c>
      <c r="K10" t="s">
        <v>93</v>
      </c>
      <c r="L10" s="41">
        <v>42741</v>
      </c>
    </row>
    <row r="11" spans="1:26" x14ac:dyDescent="0.2">
      <c r="A11">
        <v>695</v>
      </c>
      <c r="B11" t="s">
        <v>31</v>
      </c>
      <c r="C11">
        <v>3029</v>
      </c>
      <c r="D11" t="s">
        <v>61</v>
      </c>
      <c r="E11" t="s">
        <v>92</v>
      </c>
      <c r="F11" t="s">
        <v>92</v>
      </c>
      <c r="G11">
        <v>209362</v>
      </c>
      <c r="H11">
        <v>278600</v>
      </c>
      <c r="I11">
        <v>87860</v>
      </c>
      <c r="J11" t="s">
        <v>124</v>
      </c>
      <c r="K11" t="s">
        <v>93</v>
      </c>
      <c r="L11" s="41">
        <v>42745</v>
      </c>
    </row>
    <row r="12" spans="1:26" x14ac:dyDescent="0.2">
      <c r="A12">
        <v>695</v>
      </c>
      <c r="B12" t="s">
        <v>31</v>
      </c>
      <c r="C12">
        <v>3029</v>
      </c>
      <c r="D12" t="s">
        <v>61</v>
      </c>
      <c r="E12" t="s">
        <v>99</v>
      </c>
      <c r="F12" t="s">
        <v>99</v>
      </c>
      <c r="G12">
        <v>198834</v>
      </c>
      <c r="H12">
        <v>268500</v>
      </c>
      <c r="I12">
        <v>86003</v>
      </c>
      <c r="J12" t="s">
        <v>125</v>
      </c>
      <c r="K12" t="s">
        <v>93</v>
      </c>
      <c r="L12" s="41">
        <v>42746</v>
      </c>
    </row>
    <row r="13" spans="1:26" x14ac:dyDescent="0.2">
      <c r="A13">
        <v>695</v>
      </c>
      <c r="B13" t="s">
        <v>31</v>
      </c>
      <c r="C13">
        <v>6077</v>
      </c>
      <c r="D13" t="s">
        <v>62</v>
      </c>
      <c r="E13" t="s">
        <v>105</v>
      </c>
      <c r="F13" t="s">
        <v>105</v>
      </c>
      <c r="G13">
        <v>150080</v>
      </c>
      <c r="H13">
        <v>200500</v>
      </c>
      <c r="I13">
        <v>139109</v>
      </c>
      <c r="J13" t="s">
        <v>126</v>
      </c>
      <c r="K13" t="s">
        <v>98</v>
      </c>
      <c r="L13" s="41">
        <v>42758</v>
      </c>
    </row>
    <row r="14" spans="1:26" x14ac:dyDescent="0.2">
      <c r="A14">
        <v>695</v>
      </c>
      <c r="B14" t="s">
        <v>31</v>
      </c>
      <c r="C14">
        <v>6108</v>
      </c>
      <c r="D14" t="s">
        <v>55</v>
      </c>
      <c r="E14" t="s">
        <v>97</v>
      </c>
      <c r="F14" t="s">
        <v>97</v>
      </c>
      <c r="G14">
        <v>150228</v>
      </c>
      <c r="H14">
        <v>204300</v>
      </c>
      <c r="I14">
        <v>146797</v>
      </c>
      <c r="J14" t="s">
        <v>127</v>
      </c>
      <c r="K14" t="s">
        <v>102</v>
      </c>
      <c r="L14" s="41">
        <v>42760</v>
      </c>
    </row>
    <row r="15" spans="1:26" x14ac:dyDescent="0.2">
      <c r="A15">
        <v>695</v>
      </c>
      <c r="B15" t="s">
        <v>31</v>
      </c>
      <c r="C15">
        <v>3029</v>
      </c>
      <c r="D15" t="s">
        <v>61</v>
      </c>
      <c r="E15" t="s">
        <v>99</v>
      </c>
      <c r="F15" t="s">
        <v>99</v>
      </c>
      <c r="G15">
        <v>198834</v>
      </c>
      <c r="H15">
        <v>268500</v>
      </c>
      <c r="I15">
        <v>86003</v>
      </c>
      <c r="J15" t="s">
        <v>128</v>
      </c>
      <c r="K15" t="s">
        <v>93</v>
      </c>
      <c r="L15" s="41">
        <v>42762</v>
      </c>
    </row>
    <row r="16" spans="1:26" ht="12.75" customHeight="1" x14ac:dyDescent="0.2">
      <c r="A16">
        <v>695</v>
      </c>
      <c r="B16" t="s">
        <v>31</v>
      </c>
      <c r="C16">
        <v>6077</v>
      </c>
      <c r="D16" t="s">
        <v>62</v>
      </c>
      <c r="E16" t="s">
        <v>130</v>
      </c>
      <c r="F16" t="s">
        <v>130</v>
      </c>
      <c r="G16">
        <v>152247</v>
      </c>
      <c r="H16">
        <v>203600</v>
      </c>
      <c r="I16">
        <v>141144</v>
      </c>
      <c r="J16" t="s">
        <v>131</v>
      </c>
      <c r="K16" t="s">
        <v>98</v>
      </c>
      <c r="L16" s="41">
        <v>42766</v>
      </c>
    </row>
    <row r="17" spans="1:12" ht="12.75" customHeight="1" x14ac:dyDescent="0.2">
      <c r="A17">
        <v>695</v>
      </c>
      <c r="B17" t="s">
        <v>31</v>
      </c>
      <c r="C17">
        <v>6108</v>
      </c>
      <c r="D17" t="s">
        <v>55</v>
      </c>
      <c r="E17" t="s">
        <v>108</v>
      </c>
      <c r="F17" t="s">
        <v>108</v>
      </c>
      <c r="G17">
        <v>142903</v>
      </c>
      <c r="H17">
        <v>194400</v>
      </c>
      <c r="I17">
        <v>146793</v>
      </c>
      <c r="J17" t="s">
        <v>129</v>
      </c>
      <c r="K17" t="s">
        <v>102</v>
      </c>
      <c r="L17" s="41">
        <v>42766</v>
      </c>
    </row>
    <row r="18" spans="1:12" ht="12.75" customHeight="1" x14ac:dyDescent="0.2">
      <c r="A18">
        <v>695</v>
      </c>
      <c r="B18" t="s">
        <v>31</v>
      </c>
      <c r="C18">
        <v>3029</v>
      </c>
      <c r="D18" t="s">
        <v>61</v>
      </c>
      <c r="E18" t="s">
        <v>113</v>
      </c>
      <c r="F18" t="s">
        <v>113</v>
      </c>
      <c r="G18">
        <v>167489</v>
      </c>
      <c r="H18">
        <v>226200</v>
      </c>
      <c r="I18">
        <v>146972</v>
      </c>
      <c r="J18" t="s">
        <v>132</v>
      </c>
      <c r="K18" t="s">
        <v>93</v>
      </c>
      <c r="L18" s="41">
        <v>42767</v>
      </c>
    </row>
    <row r="19" spans="1:12" ht="12.75" customHeight="1" x14ac:dyDescent="0.2">
      <c r="A19">
        <v>695</v>
      </c>
      <c r="B19" t="s">
        <v>31</v>
      </c>
      <c r="C19">
        <v>4249</v>
      </c>
      <c r="D19" t="s">
        <v>56</v>
      </c>
      <c r="E19" t="s">
        <v>133</v>
      </c>
      <c r="F19" t="s">
        <v>133</v>
      </c>
      <c r="G19">
        <v>239995</v>
      </c>
      <c r="H19">
        <v>336000</v>
      </c>
      <c r="I19">
        <v>121229</v>
      </c>
      <c r="J19" t="s">
        <v>134</v>
      </c>
      <c r="K19" t="s">
        <v>95</v>
      </c>
      <c r="L19" s="41">
        <v>42768</v>
      </c>
    </row>
    <row r="20" spans="1:12" ht="12.75" customHeight="1" x14ac:dyDescent="0.2">
      <c r="A20">
        <v>695</v>
      </c>
      <c r="B20" t="s">
        <v>31</v>
      </c>
      <c r="C20">
        <v>6077</v>
      </c>
      <c r="D20" t="s">
        <v>62</v>
      </c>
      <c r="E20" t="s">
        <v>105</v>
      </c>
      <c r="F20" t="s">
        <v>105</v>
      </c>
      <c r="G20">
        <v>150080</v>
      </c>
      <c r="H20">
        <v>200500</v>
      </c>
      <c r="I20">
        <v>139109</v>
      </c>
      <c r="J20" t="s">
        <v>135</v>
      </c>
      <c r="K20" t="s">
        <v>98</v>
      </c>
      <c r="L20" s="41">
        <v>42768</v>
      </c>
    </row>
    <row r="21" spans="1:12" ht="12.75" customHeight="1" x14ac:dyDescent="0.2">
      <c r="A21">
        <v>695</v>
      </c>
      <c r="B21" t="s">
        <v>31</v>
      </c>
      <c r="C21">
        <v>6077</v>
      </c>
      <c r="D21" t="s">
        <v>62</v>
      </c>
      <c r="E21" t="s">
        <v>111</v>
      </c>
      <c r="F21" t="s">
        <v>111</v>
      </c>
      <c r="G21">
        <v>141286</v>
      </c>
      <c r="H21">
        <v>190300</v>
      </c>
      <c r="I21">
        <v>139108</v>
      </c>
      <c r="J21" t="s">
        <v>136</v>
      </c>
      <c r="K21" t="s">
        <v>98</v>
      </c>
      <c r="L21" s="41">
        <v>42780</v>
      </c>
    </row>
    <row r="22" spans="1:12" ht="12.75" customHeight="1" x14ac:dyDescent="0.2">
      <c r="A22">
        <v>695</v>
      </c>
      <c r="B22" t="s">
        <v>31</v>
      </c>
      <c r="C22">
        <v>3029</v>
      </c>
      <c r="D22" t="s">
        <v>61</v>
      </c>
      <c r="E22" t="s">
        <v>113</v>
      </c>
      <c r="F22" t="s">
        <v>113</v>
      </c>
      <c r="G22">
        <v>167489</v>
      </c>
      <c r="H22">
        <v>226200</v>
      </c>
      <c r="I22">
        <v>146972</v>
      </c>
      <c r="J22" t="s">
        <v>137</v>
      </c>
      <c r="K22" t="s">
        <v>93</v>
      </c>
      <c r="L22" s="41">
        <v>42794</v>
      </c>
    </row>
    <row r="23" spans="1:12" ht="12.75" customHeight="1" x14ac:dyDescent="0.2">
      <c r="A23">
        <v>695</v>
      </c>
      <c r="B23" t="s">
        <v>31</v>
      </c>
      <c r="C23">
        <v>3029</v>
      </c>
      <c r="D23" t="s">
        <v>61</v>
      </c>
      <c r="E23" t="s">
        <v>113</v>
      </c>
      <c r="F23" t="s">
        <v>113</v>
      </c>
      <c r="G23">
        <v>167489</v>
      </c>
      <c r="H23">
        <v>226200</v>
      </c>
      <c r="I23">
        <v>146972</v>
      </c>
      <c r="J23" t="s">
        <v>138</v>
      </c>
      <c r="K23" t="s">
        <v>93</v>
      </c>
      <c r="L23" s="41">
        <v>42796</v>
      </c>
    </row>
    <row r="24" spans="1:12" ht="12.75" customHeight="1" x14ac:dyDescent="0.2">
      <c r="A24">
        <v>695</v>
      </c>
      <c r="B24" t="s">
        <v>31</v>
      </c>
      <c r="C24">
        <v>6077</v>
      </c>
      <c r="D24" t="s">
        <v>62</v>
      </c>
      <c r="E24" t="s">
        <v>97</v>
      </c>
      <c r="F24" t="s">
        <v>97</v>
      </c>
      <c r="G24">
        <v>150167</v>
      </c>
      <c r="H24">
        <v>200700</v>
      </c>
      <c r="I24">
        <v>141145</v>
      </c>
      <c r="J24" t="s">
        <v>139</v>
      </c>
      <c r="K24" t="s">
        <v>98</v>
      </c>
      <c r="L24" s="41">
        <v>42796</v>
      </c>
    </row>
    <row r="25" spans="1:12" ht="12.75" customHeight="1" x14ac:dyDescent="0.2">
      <c r="A25">
        <v>695</v>
      </c>
      <c r="B25" t="s">
        <v>31</v>
      </c>
      <c r="C25">
        <v>4249</v>
      </c>
      <c r="D25" t="s">
        <v>56</v>
      </c>
      <c r="E25" t="s">
        <v>140</v>
      </c>
      <c r="F25" t="s">
        <v>140</v>
      </c>
      <c r="G25">
        <v>206317</v>
      </c>
      <c r="H25">
        <v>288900</v>
      </c>
      <c r="I25">
        <v>148038</v>
      </c>
      <c r="J25" t="s">
        <v>141</v>
      </c>
      <c r="K25" t="s">
        <v>95</v>
      </c>
      <c r="L25" s="41">
        <v>42801</v>
      </c>
    </row>
    <row r="26" spans="1:12" ht="12.75" customHeight="1" x14ac:dyDescent="0.2">
      <c r="A26">
        <v>695</v>
      </c>
      <c r="B26" t="s">
        <v>31</v>
      </c>
      <c r="C26">
        <v>4249</v>
      </c>
      <c r="D26" t="s">
        <v>56</v>
      </c>
      <c r="E26" t="s">
        <v>142</v>
      </c>
      <c r="F26" t="s">
        <v>142</v>
      </c>
      <c r="G26">
        <v>261239</v>
      </c>
      <c r="H26">
        <v>352700</v>
      </c>
      <c r="I26">
        <v>121235</v>
      </c>
      <c r="J26" t="s">
        <v>143</v>
      </c>
      <c r="K26" t="s">
        <v>95</v>
      </c>
      <c r="L26" s="41">
        <v>42807</v>
      </c>
    </row>
    <row r="27" spans="1:12" ht="12.75" customHeight="1" x14ac:dyDescent="0.2">
      <c r="A27">
        <v>695</v>
      </c>
      <c r="B27" t="s">
        <v>31</v>
      </c>
      <c r="C27">
        <v>6108</v>
      </c>
      <c r="D27" t="s">
        <v>55</v>
      </c>
      <c r="E27" t="s">
        <v>115</v>
      </c>
      <c r="F27" t="s">
        <v>115</v>
      </c>
      <c r="G27">
        <v>145710</v>
      </c>
      <c r="H27">
        <v>198100</v>
      </c>
      <c r="I27">
        <v>146794</v>
      </c>
      <c r="J27" t="s">
        <v>144</v>
      </c>
      <c r="K27" t="s">
        <v>102</v>
      </c>
      <c r="L27" s="41">
        <v>42825</v>
      </c>
    </row>
    <row r="28" spans="1:12" ht="12.75" customHeight="1" x14ac:dyDescent="0.2">
      <c r="A28">
        <v>695</v>
      </c>
      <c r="B28" t="s">
        <v>31</v>
      </c>
      <c r="C28">
        <v>6077</v>
      </c>
      <c r="D28" t="s">
        <v>62</v>
      </c>
      <c r="E28" t="s">
        <v>105</v>
      </c>
      <c r="F28" t="s">
        <v>105</v>
      </c>
      <c r="G28">
        <v>150080</v>
      </c>
      <c r="H28">
        <v>200500</v>
      </c>
      <c r="I28">
        <v>139109</v>
      </c>
      <c r="J28" t="s">
        <v>145</v>
      </c>
      <c r="K28" t="s">
        <v>98</v>
      </c>
      <c r="L28" s="41">
        <v>42828</v>
      </c>
    </row>
    <row r="29" spans="1:12" ht="12.75" customHeight="1" x14ac:dyDescent="0.2">
      <c r="A29">
        <v>695</v>
      </c>
      <c r="B29" t="s">
        <v>31</v>
      </c>
      <c r="C29">
        <v>4249</v>
      </c>
      <c r="D29" t="s">
        <v>56</v>
      </c>
      <c r="E29" t="s">
        <v>133</v>
      </c>
      <c r="F29" t="s">
        <v>133</v>
      </c>
      <c r="G29">
        <v>239995</v>
      </c>
      <c r="H29">
        <v>336000</v>
      </c>
      <c r="I29">
        <v>121229</v>
      </c>
      <c r="J29" t="s">
        <v>146</v>
      </c>
      <c r="K29" t="s">
        <v>95</v>
      </c>
      <c r="L29" s="41">
        <v>42831</v>
      </c>
    </row>
    <row r="30" spans="1:12" ht="12.75" customHeight="1" x14ac:dyDescent="0.2">
      <c r="A30">
        <v>695</v>
      </c>
      <c r="B30" t="s">
        <v>31</v>
      </c>
      <c r="C30">
        <v>6077</v>
      </c>
      <c r="D30" t="s">
        <v>62</v>
      </c>
      <c r="E30" t="s">
        <v>111</v>
      </c>
      <c r="F30" t="s">
        <v>111</v>
      </c>
      <c r="G30">
        <v>141286</v>
      </c>
      <c r="H30">
        <v>190300</v>
      </c>
      <c r="I30">
        <v>139108</v>
      </c>
      <c r="J30" t="s">
        <v>147</v>
      </c>
      <c r="K30" t="s">
        <v>98</v>
      </c>
      <c r="L30" s="41">
        <v>42832</v>
      </c>
    </row>
    <row r="31" spans="1:12" ht="12.75" customHeight="1" x14ac:dyDescent="0.2">
      <c r="A31">
        <v>695</v>
      </c>
      <c r="B31" t="s">
        <v>31</v>
      </c>
      <c r="C31">
        <v>6077</v>
      </c>
      <c r="D31" t="s">
        <v>62</v>
      </c>
      <c r="E31" t="s">
        <v>111</v>
      </c>
      <c r="F31" t="s">
        <v>111</v>
      </c>
      <c r="G31">
        <v>141286</v>
      </c>
      <c r="H31">
        <v>190300</v>
      </c>
      <c r="I31">
        <v>139108</v>
      </c>
      <c r="J31" t="s">
        <v>148</v>
      </c>
      <c r="K31" t="s">
        <v>98</v>
      </c>
      <c r="L31" s="41">
        <v>42838</v>
      </c>
    </row>
    <row r="32" spans="1:12" ht="12.75" customHeight="1" x14ac:dyDescent="0.2">
      <c r="A32">
        <v>695</v>
      </c>
      <c r="B32" t="s">
        <v>31</v>
      </c>
      <c r="C32">
        <v>6147</v>
      </c>
      <c r="D32" t="s">
        <v>54</v>
      </c>
      <c r="E32" t="s">
        <v>101</v>
      </c>
      <c r="F32" t="s">
        <v>101</v>
      </c>
      <c r="G32">
        <v>206046</v>
      </c>
      <c r="H32">
        <v>276850</v>
      </c>
      <c r="I32">
        <v>143989</v>
      </c>
      <c r="J32" t="s">
        <v>151</v>
      </c>
      <c r="K32" t="s">
        <v>102</v>
      </c>
      <c r="L32" s="41">
        <v>42842</v>
      </c>
    </row>
    <row r="33" spans="1:12" ht="12.75" customHeight="1" x14ac:dyDescent="0.2">
      <c r="A33">
        <v>695</v>
      </c>
      <c r="B33" t="s">
        <v>31</v>
      </c>
      <c r="C33">
        <v>6147</v>
      </c>
      <c r="D33" t="s">
        <v>54</v>
      </c>
      <c r="E33" t="s">
        <v>101</v>
      </c>
      <c r="F33" t="s">
        <v>101</v>
      </c>
      <c r="G33">
        <v>206046</v>
      </c>
      <c r="H33">
        <v>276850</v>
      </c>
      <c r="I33">
        <v>143989</v>
      </c>
      <c r="J33" t="s">
        <v>152</v>
      </c>
      <c r="K33" t="s">
        <v>102</v>
      </c>
      <c r="L33" s="41">
        <v>42842</v>
      </c>
    </row>
    <row r="34" spans="1:12" ht="12.75" customHeight="1" x14ac:dyDescent="0.2">
      <c r="A34">
        <v>695</v>
      </c>
      <c r="B34" t="s">
        <v>31</v>
      </c>
      <c r="C34">
        <v>6147</v>
      </c>
      <c r="D34" t="s">
        <v>54</v>
      </c>
      <c r="E34" t="s">
        <v>101</v>
      </c>
      <c r="F34" t="s">
        <v>101</v>
      </c>
      <c r="G34">
        <v>206046</v>
      </c>
      <c r="H34">
        <v>276850</v>
      </c>
      <c r="I34">
        <v>143989</v>
      </c>
      <c r="J34" t="s">
        <v>149</v>
      </c>
      <c r="K34" t="s">
        <v>102</v>
      </c>
      <c r="L34" s="41">
        <v>42842</v>
      </c>
    </row>
    <row r="35" spans="1:12" ht="12.75" customHeight="1" x14ac:dyDescent="0.2">
      <c r="A35">
        <v>695</v>
      </c>
      <c r="B35" t="s">
        <v>31</v>
      </c>
      <c r="C35">
        <v>6147</v>
      </c>
      <c r="D35" t="s">
        <v>54</v>
      </c>
      <c r="E35" t="s">
        <v>118</v>
      </c>
      <c r="F35" t="s">
        <v>118</v>
      </c>
      <c r="G35">
        <v>216540</v>
      </c>
      <c r="H35">
        <v>293650</v>
      </c>
      <c r="I35">
        <v>150542</v>
      </c>
      <c r="J35" t="s">
        <v>150</v>
      </c>
      <c r="K35" t="s">
        <v>102</v>
      </c>
      <c r="L35" s="41">
        <v>42842</v>
      </c>
    </row>
    <row r="36" spans="1:12" ht="12.75" customHeight="1" x14ac:dyDescent="0.2">
      <c r="A36">
        <v>695</v>
      </c>
      <c r="B36" t="s">
        <v>31</v>
      </c>
      <c r="C36">
        <v>6147</v>
      </c>
      <c r="D36" t="s">
        <v>54</v>
      </c>
      <c r="E36" t="s">
        <v>101</v>
      </c>
      <c r="F36" t="s">
        <v>101</v>
      </c>
      <c r="G36">
        <v>206046</v>
      </c>
      <c r="H36">
        <v>276850</v>
      </c>
      <c r="I36">
        <v>143989</v>
      </c>
      <c r="J36" t="s">
        <v>154</v>
      </c>
      <c r="K36" t="s">
        <v>102</v>
      </c>
      <c r="L36" s="41">
        <v>42850</v>
      </c>
    </row>
    <row r="37" spans="1:12" ht="12.75" customHeight="1" x14ac:dyDescent="0.2">
      <c r="A37">
        <v>695</v>
      </c>
      <c r="B37" t="s">
        <v>31</v>
      </c>
      <c r="C37">
        <v>6147</v>
      </c>
      <c r="D37" t="s">
        <v>54</v>
      </c>
      <c r="E37" t="s">
        <v>118</v>
      </c>
      <c r="F37" t="s">
        <v>118</v>
      </c>
      <c r="G37">
        <v>216540</v>
      </c>
      <c r="H37">
        <v>293650</v>
      </c>
      <c r="I37">
        <v>150542</v>
      </c>
      <c r="J37" t="s">
        <v>153</v>
      </c>
      <c r="K37" t="s">
        <v>102</v>
      </c>
      <c r="L37" s="41">
        <v>42850</v>
      </c>
    </row>
    <row r="38" spans="1:12" ht="12.75" customHeight="1" x14ac:dyDescent="0.2">
      <c r="A38">
        <v>695</v>
      </c>
      <c r="B38" t="s">
        <v>31</v>
      </c>
      <c r="C38">
        <v>6147</v>
      </c>
      <c r="D38" t="s">
        <v>54</v>
      </c>
      <c r="E38" t="s">
        <v>103</v>
      </c>
      <c r="F38" t="s">
        <v>103</v>
      </c>
      <c r="G38">
        <v>189146</v>
      </c>
      <c r="H38">
        <v>257250</v>
      </c>
      <c r="I38">
        <v>143988</v>
      </c>
      <c r="J38" t="s">
        <v>155</v>
      </c>
      <c r="K38" t="s">
        <v>102</v>
      </c>
      <c r="L38" s="41">
        <v>42852</v>
      </c>
    </row>
    <row r="39" spans="1:12" ht="12.75" customHeight="1" x14ac:dyDescent="0.2">
      <c r="A39">
        <v>695</v>
      </c>
      <c r="B39" t="s">
        <v>31</v>
      </c>
      <c r="C39">
        <v>6147</v>
      </c>
      <c r="D39" t="s">
        <v>54</v>
      </c>
      <c r="E39" t="s">
        <v>118</v>
      </c>
      <c r="F39" t="s">
        <v>118</v>
      </c>
      <c r="G39">
        <v>216540</v>
      </c>
      <c r="H39">
        <v>293650</v>
      </c>
      <c r="I39">
        <v>150542</v>
      </c>
      <c r="J39" t="s">
        <v>156</v>
      </c>
      <c r="K39" t="s">
        <v>102</v>
      </c>
      <c r="L39" s="41">
        <v>42852</v>
      </c>
    </row>
    <row r="40" spans="1:12" ht="12.75" customHeight="1" x14ac:dyDescent="0.2">
      <c r="A40">
        <v>695</v>
      </c>
      <c r="B40" t="s">
        <v>31</v>
      </c>
      <c r="C40">
        <v>6147</v>
      </c>
      <c r="D40" t="s">
        <v>54</v>
      </c>
      <c r="E40" t="s">
        <v>101</v>
      </c>
      <c r="F40" t="s">
        <v>101</v>
      </c>
      <c r="G40">
        <v>206046</v>
      </c>
      <c r="H40">
        <v>276850</v>
      </c>
      <c r="I40">
        <v>143989</v>
      </c>
      <c r="J40" t="s">
        <v>157</v>
      </c>
      <c r="K40" t="s">
        <v>102</v>
      </c>
      <c r="L40" s="41">
        <v>42852</v>
      </c>
    </row>
    <row r="41" spans="1:12" ht="12.75" customHeight="1" x14ac:dyDescent="0.2">
      <c r="A41">
        <v>695</v>
      </c>
      <c r="B41" t="s">
        <v>31</v>
      </c>
      <c r="C41">
        <v>6147</v>
      </c>
      <c r="D41" t="s">
        <v>54</v>
      </c>
      <c r="E41" t="s">
        <v>101</v>
      </c>
      <c r="F41" t="s">
        <v>101</v>
      </c>
      <c r="G41">
        <v>206046</v>
      </c>
      <c r="H41">
        <v>276850</v>
      </c>
      <c r="I41">
        <v>143989</v>
      </c>
      <c r="J41" t="s">
        <v>158</v>
      </c>
      <c r="K41" t="s">
        <v>102</v>
      </c>
      <c r="L41" s="41">
        <v>42856</v>
      </c>
    </row>
    <row r="42" spans="1:12" ht="12.75" customHeight="1" x14ac:dyDescent="0.2">
      <c r="A42">
        <v>695</v>
      </c>
      <c r="B42" t="s">
        <v>31</v>
      </c>
      <c r="C42">
        <v>6147</v>
      </c>
      <c r="D42" t="s">
        <v>54</v>
      </c>
      <c r="E42" t="s">
        <v>101</v>
      </c>
      <c r="F42" t="s">
        <v>101</v>
      </c>
      <c r="G42">
        <v>206046</v>
      </c>
      <c r="H42">
        <v>276850</v>
      </c>
      <c r="I42">
        <v>143989</v>
      </c>
      <c r="J42" t="s">
        <v>159</v>
      </c>
      <c r="K42" t="s">
        <v>102</v>
      </c>
      <c r="L42" s="41">
        <v>42856</v>
      </c>
    </row>
    <row r="43" spans="1:12" ht="12.75" customHeight="1" x14ac:dyDescent="0.2">
      <c r="A43">
        <v>695</v>
      </c>
      <c r="B43" t="s">
        <v>31</v>
      </c>
      <c r="C43">
        <v>6147</v>
      </c>
      <c r="D43" t="s">
        <v>54</v>
      </c>
      <c r="E43" t="s">
        <v>101</v>
      </c>
      <c r="F43" t="s">
        <v>101</v>
      </c>
      <c r="G43">
        <v>206046</v>
      </c>
      <c r="H43">
        <v>276850</v>
      </c>
      <c r="I43">
        <v>143989</v>
      </c>
      <c r="J43" t="s">
        <v>160</v>
      </c>
      <c r="K43" t="s">
        <v>102</v>
      </c>
      <c r="L43" s="41">
        <v>42858</v>
      </c>
    </row>
    <row r="44" spans="1:12" ht="12.75" customHeight="1" x14ac:dyDescent="0.2">
      <c r="A44">
        <v>695</v>
      </c>
      <c r="B44" t="s">
        <v>31</v>
      </c>
      <c r="C44">
        <v>3029</v>
      </c>
      <c r="D44" t="s">
        <v>61</v>
      </c>
      <c r="E44" t="s">
        <v>99</v>
      </c>
      <c r="F44" t="s">
        <v>99</v>
      </c>
      <c r="G44">
        <v>198834</v>
      </c>
      <c r="H44">
        <v>268500</v>
      </c>
      <c r="I44">
        <v>86003</v>
      </c>
      <c r="J44" t="s">
        <v>161</v>
      </c>
      <c r="K44" t="s">
        <v>93</v>
      </c>
      <c r="L44" s="41">
        <v>42858</v>
      </c>
    </row>
    <row r="45" spans="1:12" ht="12.75" customHeight="1" x14ac:dyDescent="0.2">
      <c r="A45">
        <v>695</v>
      </c>
      <c r="B45" t="s">
        <v>31</v>
      </c>
      <c r="C45">
        <v>3029</v>
      </c>
      <c r="D45" t="s">
        <v>61</v>
      </c>
      <c r="E45" t="s">
        <v>119</v>
      </c>
      <c r="F45" t="s">
        <v>119</v>
      </c>
      <c r="G45">
        <v>196676</v>
      </c>
      <c r="H45">
        <v>268700</v>
      </c>
      <c r="I45">
        <v>86005</v>
      </c>
      <c r="J45" t="s">
        <v>162</v>
      </c>
      <c r="K45" t="s">
        <v>93</v>
      </c>
      <c r="L45" s="41">
        <v>42858</v>
      </c>
    </row>
    <row r="46" spans="1:12" ht="12.75" customHeight="1" x14ac:dyDescent="0.2">
      <c r="A46">
        <v>695</v>
      </c>
      <c r="B46" t="s">
        <v>31</v>
      </c>
      <c r="C46">
        <v>6077</v>
      </c>
      <c r="D46" t="s">
        <v>62</v>
      </c>
      <c r="E46" t="s">
        <v>114</v>
      </c>
      <c r="F46" t="s">
        <v>114</v>
      </c>
      <c r="G46">
        <v>135463</v>
      </c>
      <c r="H46">
        <v>180800</v>
      </c>
      <c r="I46">
        <v>141148</v>
      </c>
      <c r="J46" t="s">
        <v>163</v>
      </c>
      <c r="K46" t="s">
        <v>98</v>
      </c>
      <c r="L46" s="41">
        <v>42859</v>
      </c>
    </row>
    <row r="47" spans="1:12" ht="12.75" customHeight="1" x14ac:dyDescent="0.2">
      <c r="A47">
        <v>695</v>
      </c>
      <c r="B47" t="s">
        <v>31</v>
      </c>
      <c r="C47">
        <v>3029</v>
      </c>
      <c r="D47" t="s">
        <v>61</v>
      </c>
      <c r="E47" t="s">
        <v>164</v>
      </c>
      <c r="F47" t="s">
        <v>164</v>
      </c>
      <c r="G47">
        <v>187995</v>
      </c>
      <c r="H47">
        <v>253800</v>
      </c>
      <c r="I47">
        <v>86006</v>
      </c>
      <c r="J47" t="s">
        <v>165</v>
      </c>
      <c r="K47" t="s">
        <v>93</v>
      </c>
      <c r="L47" s="41">
        <v>42863</v>
      </c>
    </row>
    <row r="48" spans="1:12" ht="12.75" customHeight="1" x14ac:dyDescent="0.2">
      <c r="A48">
        <v>695</v>
      </c>
      <c r="B48" t="s">
        <v>31</v>
      </c>
      <c r="C48">
        <v>3029</v>
      </c>
      <c r="D48" t="s">
        <v>61</v>
      </c>
      <c r="E48" t="s">
        <v>113</v>
      </c>
      <c r="F48" t="s">
        <v>113</v>
      </c>
      <c r="G48">
        <v>167489</v>
      </c>
      <c r="H48">
        <v>226200</v>
      </c>
      <c r="I48">
        <v>146972</v>
      </c>
      <c r="J48" t="s">
        <v>166</v>
      </c>
      <c r="K48" t="s">
        <v>93</v>
      </c>
      <c r="L48" s="41">
        <v>42863</v>
      </c>
    </row>
    <row r="49" spans="1:12" ht="12.75" customHeight="1" x14ac:dyDescent="0.2">
      <c r="A49">
        <v>695</v>
      </c>
      <c r="B49" t="s">
        <v>31</v>
      </c>
      <c r="C49">
        <v>6077</v>
      </c>
      <c r="D49" t="s">
        <v>62</v>
      </c>
      <c r="E49" t="s">
        <v>105</v>
      </c>
      <c r="F49" t="s">
        <v>105</v>
      </c>
      <c r="G49">
        <v>150080</v>
      </c>
      <c r="H49">
        <v>200500</v>
      </c>
      <c r="I49">
        <v>139109</v>
      </c>
      <c r="J49" t="s">
        <v>167</v>
      </c>
      <c r="K49" t="s">
        <v>98</v>
      </c>
      <c r="L49" s="41">
        <v>42870</v>
      </c>
    </row>
    <row r="50" spans="1:12" ht="12.75" customHeight="1" x14ac:dyDescent="0.2">
      <c r="A50">
        <v>695</v>
      </c>
      <c r="B50" t="s">
        <v>31</v>
      </c>
      <c r="C50">
        <v>6077</v>
      </c>
      <c r="D50" t="s">
        <v>62</v>
      </c>
      <c r="E50" t="s">
        <v>111</v>
      </c>
      <c r="F50" t="s">
        <v>111</v>
      </c>
      <c r="G50">
        <v>141286</v>
      </c>
      <c r="H50">
        <v>190300</v>
      </c>
      <c r="I50">
        <v>139108</v>
      </c>
      <c r="J50" t="s">
        <v>168</v>
      </c>
      <c r="K50" t="s">
        <v>98</v>
      </c>
      <c r="L50" s="41">
        <v>42870</v>
      </c>
    </row>
    <row r="51" spans="1:12" ht="12.75" customHeight="1" x14ac:dyDescent="0.2">
      <c r="A51">
        <v>695</v>
      </c>
      <c r="B51" t="s">
        <v>31</v>
      </c>
      <c r="C51">
        <v>6333</v>
      </c>
      <c r="D51" t="s">
        <v>57</v>
      </c>
      <c r="E51" t="s">
        <v>169</v>
      </c>
      <c r="F51" t="s">
        <v>169</v>
      </c>
      <c r="G51">
        <v>273807</v>
      </c>
      <c r="H51">
        <v>379600</v>
      </c>
      <c r="I51">
        <v>147351</v>
      </c>
      <c r="J51" t="s">
        <v>170</v>
      </c>
      <c r="K51" t="s">
        <v>95</v>
      </c>
      <c r="L51" s="41">
        <v>42870</v>
      </c>
    </row>
    <row r="52" spans="1:12" ht="12.75" customHeight="1" x14ac:dyDescent="0.2">
      <c r="A52">
        <v>695</v>
      </c>
      <c r="B52" t="s">
        <v>31</v>
      </c>
      <c r="C52">
        <v>6077</v>
      </c>
      <c r="D52" t="s">
        <v>62</v>
      </c>
      <c r="E52" t="s">
        <v>117</v>
      </c>
      <c r="F52" t="s">
        <v>117</v>
      </c>
      <c r="G52">
        <v>136247</v>
      </c>
      <c r="H52">
        <v>182000</v>
      </c>
      <c r="I52">
        <v>141146</v>
      </c>
      <c r="J52" t="s">
        <v>171</v>
      </c>
      <c r="K52" t="s">
        <v>98</v>
      </c>
      <c r="L52" s="41">
        <v>42872</v>
      </c>
    </row>
    <row r="53" spans="1:12" ht="12.75" customHeight="1" x14ac:dyDescent="0.2">
      <c r="A53">
        <v>695</v>
      </c>
      <c r="B53" t="s">
        <v>31</v>
      </c>
      <c r="C53">
        <v>6147</v>
      </c>
      <c r="D53" t="s">
        <v>54</v>
      </c>
      <c r="E53" t="s">
        <v>101</v>
      </c>
      <c r="F53" t="s">
        <v>101</v>
      </c>
      <c r="G53">
        <v>206046</v>
      </c>
      <c r="H53">
        <v>276850</v>
      </c>
      <c r="I53">
        <v>143989</v>
      </c>
      <c r="J53" t="s">
        <v>172</v>
      </c>
      <c r="K53" t="s">
        <v>102</v>
      </c>
      <c r="L53" s="41">
        <v>42884</v>
      </c>
    </row>
    <row r="54" spans="1:12" ht="12.75" customHeight="1" x14ac:dyDescent="0.2">
      <c r="A54">
        <v>695</v>
      </c>
      <c r="B54" t="s">
        <v>31</v>
      </c>
      <c r="C54">
        <v>3029</v>
      </c>
      <c r="D54" t="s">
        <v>61</v>
      </c>
      <c r="E54" t="s">
        <v>106</v>
      </c>
      <c r="F54" t="s">
        <v>106</v>
      </c>
      <c r="G54">
        <v>187320</v>
      </c>
      <c r="H54">
        <v>249300</v>
      </c>
      <c r="I54">
        <v>106874</v>
      </c>
      <c r="J54" t="s">
        <v>173</v>
      </c>
      <c r="K54" t="s">
        <v>93</v>
      </c>
      <c r="L54" s="41">
        <v>42888</v>
      </c>
    </row>
    <row r="55" spans="1:12" ht="12.75" customHeight="1" x14ac:dyDescent="0.2">
      <c r="A55">
        <v>695</v>
      </c>
      <c r="B55" t="s">
        <v>31</v>
      </c>
      <c r="C55">
        <v>6077</v>
      </c>
      <c r="D55" t="s">
        <v>62</v>
      </c>
      <c r="E55" t="s">
        <v>115</v>
      </c>
      <c r="F55" t="s">
        <v>115</v>
      </c>
      <c r="G55">
        <v>144085</v>
      </c>
      <c r="H55">
        <v>194600</v>
      </c>
      <c r="I55">
        <v>141143</v>
      </c>
      <c r="J55" t="s">
        <v>174</v>
      </c>
      <c r="K55" t="s">
        <v>98</v>
      </c>
      <c r="L55" s="41">
        <v>42891</v>
      </c>
    </row>
    <row r="56" spans="1:12" ht="12.75" customHeight="1" x14ac:dyDescent="0.2">
      <c r="A56">
        <v>695</v>
      </c>
      <c r="B56" t="s">
        <v>31</v>
      </c>
      <c r="C56">
        <v>6077</v>
      </c>
      <c r="D56" t="s">
        <v>62</v>
      </c>
      <c r="E56" t="s">
        <v>115</v>
      </c>
      <c r="F56" t="s">
        <v>115</v>
      </c>
      <c r="G56">
        <v>144085</v>
      </c>
      <c r="H56">
        <v>194600</v>
      </c>
      <c r="I56">
        <v>141143</v>
      </c>
      <c r="J56" t="s">
        <v>176</v>
      </c>
      <c r="K56" t="s">
        <v>98</v>
      </c>
      <c r="L56" s="41">
        <v>42891</v>
      </c>
    </row>
    <row r="57" spans="1:12" ht="12.75" customHeight="1" x14ac:dyDescent="0.2">
      <c r="A57">
        <v>695</v>
      </c>
      <c r="B57" t="s">
        <v>31</v>
      </c>
      <c r="C57">
        <v>6333</v>
      </c>
      <c r="D57" t="s">
        <v>57</v>
      </c>
      <c r="E57" t="s">
        <v>94</v>
      </c>
      <c r="F57" t="s">
        <v>94</v>
      </c>
      <c r="G57">
        <v>232930</v>
      </c>
      <c r="H57">
        <v>320200</v>
      </c>
      <c r="I57">
        <v>147347</v>
      </c>
      <c r="J57" t="s">
        <v>179</v>
      </c>
      <c r="K57" t="s">
        <v>95</v>
      </c>
      <c r="L57" s="41">
        <v>42891</v>
      </c>
    </row>
    <row r="58" spans="1:12" ht="12.75" customHeight="1" x14ac:dyDescent="0.2">
      <c r="A58">
        <v>695</v>
      </c>
      <c r="B58" t="s">
        <v>31</v>
      </c>
      <c r="C58">
        <v>6333</v>
      </c>
      <c r="D58" t="s">
        <v>57</v>
      </c>
      <c r="E58" t="s">
        <v>94</v>
      </c>
      <c r="F58" t="s">
        <v>94</v>
      </c>
      <c r="G58">
        <v>232930</v>
      </c>
      <c r="H58">
        <v>320200</v>
      </c>
      <c r="I58">
        <v>147347</v>
      </c>
      <c r="J58" t="s">
        <v>175</v>
      </c>
      <c r="K58" t="s">
        <v>95</v>
      </c>
      <c r="L58" s="41">
        <v>42891</v>
      </c>
    </row>
    <row r="59" spans="1:12" ht="12.75" customHeight="1" x14ac:dyDescent="0.2">
      <c r="A59">
        <v>695</v>
      </c>
      <c r="B59" t="s">
        <v>31</v>
      </c>
      <c r="C59">
        <v>6333</v>
      </c>
      <c r="D59" t="s">
        <v>57</v>
      </c>
      <c r="E59" t="s">
        <v>177</v>
      </c>
      <c r="F59" t="s">
        <v>177</v>
      </c>
      <c r="G59">
        <v>242209</v>
      </c>
      <c r="H59">
        <v>335300</v>
      </c>
      <c r="I59">
        <v>147518</v>
      </c>
      <c r="J59" t="s">
        <v>178</v>
      </c>
      <c r="K59" t="s">
        <v>95</v>
      </c>
      <c r="L59" s="41">
        <v>42891</v>
      </c>
    </row>
    <row r="60" spans="1:12" ht="12.75" customHeight="1" x14ac:dyDescent="0.2">
      <c r="A60">
        <v>695</v>
      </c>
      <c r="B60" t="s">
        <v>31</v>
      </c>
      <c r="C60">
        <v>6147</v>
      </c>
      <c r="D60" t="s">
        <v>54</v>
      </c>
      <c r="E60" t="s">
        <v>118</v>
      </c>
      <c r="F60" t="s">
        <v>118</v>
      </c>
      <c r="G60">
        <v>216540</v>
      </c>
      <c r="H60">
        <v>293650</v>
      </c>
      <c r="I60">
        <v>150542</v>
      </c>
      <c r="J60" t="s">
        <v>180</v>
      </c>
      <c r="K60" t="s">
        <v>102</v>
      </c>
      <c r="L60" s="41">
        <v>42893</v>
      </c>
    </row>
    <row r="61" spans="1:12" ht="12.75" customHeight="1" x14ac:dyDescent="0.2">
      <c r="A61">
        <v>695</v>
      </c>
      <c r="B61" t="s">
        <v>31</v>
      </c>
      <c r="C61">
        <v>6077</v>
      </c>
      <c r="D61" t="s">
        <v>62</v>
      </c>
      <c r="E61" t="s">
        <v>105</v>
      </c>
      <c r="F61" t="s">
        <v>105</v>
      </c>
      <c r="G61">
        <v>150080</v>
      </c>
      <c r="H61">
        <v>200500</v>
      </c>
      <c r="I61">
        <v>139109</v>
      </c>
      <c r="J61" t="s">
        <v>181</v>
      </c>
      <c r="K61" t="s">
        <v>98</v>
      </c>
      <c r="L61" s="41">
        <v>42893</v>
      </c>
    </row>
    <row r="62" spans="1:12" ht="12.75" customHeight="1" x14ac:dyDescent="0.2">
      <c r="A62">
        <v>695</v>
      </c>
      <c r="B62" t="s">
        <v>31</v>
      </c>
      <c r="C62">
        <v>6108</v>
      </c>
      <c r="D62" t="s">
        <v>55</v>
      </c>
      <c r="E62" t="s">
        <v>111</v>
      </c>
      <c r="F62" t="s">
        <v>111</v>
      </c>
      <c r="G62">
        <v>141271</v>
      </c>
      <c r="H62">
        <v>192200</v>
      </c>
      <c r="I62">
        <v>146791</v>
      </c>
      <c r="J62" t="s">
        <v>182</v>
      </c>
      <c r="K62" t="s">
        <v>102</v>
      </c>
      <c r="L62" s="41">
        <v>42901</v>
      </c>
    </row>
    <row r="63" spans="1:12" ht="12.75" customHeight="1" x14ac:dyDescent="0.2">
      <c r="A63">
        <v>695</v>
      </c>
      <c r="B63" t="s">
        <v>31</v>
      </c>
      <c r="C63">
        <v>6077</v>
      </c>
      <c r="D63" t="s">
        <v>62</v>
      </c>
      <c r="E63" t="s">
        <v>105</v>
      </c>
      <c r="F63" t="s">
        <v>105</v>
      </c>
      <c r="G63">
        <v>150080</v>
      </c>
      <c r="H63">
        <v>200500</v>
      </c>
      <c r="I63">
        <v>139109</v>
      </c>
      <c r="J63" t="s">
        <v>184</v>
      </c>
      <c r="K63" t="s">
        <v>98</v>
      </c>
      <c r="L63" s="41">
        <v>42902</v>
      </c>
    </row>
    <row r="64" spans="1:12" ht="12.75" customHeight="1" x14ac:dyDescent="0.2">
      <c r="A64">
        <v>695</v>
      </c>
      <c r="B64" t="s">
        <v>31</v>
      </c>
      <c r="C64">
        <v>4249</v>
      </c>
      <c r="D64" t="s">
        <v>56</v>
      </c>
      <c r="E64" t="s">
        <v>133</v>
      </c>
      <c r="F64" t="s">
        <v>133</v>
      </c>
      <c r="G64">
        <v>239995</v>
      </c>
      <c r="H64">
        <v>336000</v>
      </c>
      <c r="I64">
        <v>121229</v>
      </c>
      <c r="J64" t="s">
        <v>183</v>
      </c>
      <c r="K64" t="s">
        <v>95</v>
      </c>
      <c r="L64" s="41">
        <v>42902</v>
      </c>
    </row>
    <row r="65" spans="1:12" ht="12.75" customHeight="1" x14ac:dyDescent="0.2">
      <c r="A65">
        <v>695</v>
      </c>
      <c r="B65" t="s">
        <v>31</v>
      </c>
      <c r="C65">
        <v>3029</v>
      </c>
      <c r="D65" t="s">
        <v>61</v>
      </c>
      <c r="E65" t="s">
        <v>92</v>
      </c>
      <c r="F65" t="s">
        <v>92</v>
      </c>
      <c r="G65">
        <v>209362</v>
      </c>
      <c r="H65">
        <v>278600</v>
      </c>
      <c r="I65">
        <v>87860</v>
      </c>
      <c r="J65" t="s">
        <v>185</v>
      </c>
      <c r="K65" t="s">
        <v>93</v>
      </c>
      <c r="L65" s="41">
        <v>42905</v>
      </c>
    </row>
    <row r="66" spans="1:12" ht="12.75" customHeight="1" x14ac:dyDescent="0.2">
      <c r="A66">
        <v>695</v>
      </c>
      <c r="B66" t="s">
        <v>31</v>
      </c>
      <c r="C66">
        <v>6333</v>
      </c>
      <c r="D66" t="s">
        <v>57</v>
      </c>
      <c r="E66" t="s">
        <v>142</v>
      </c>
      <c r="F66" t="s">
        <v>142</v>
      </c>
      <c r="G66">
        <v>268539</v>
      </c>
      <c r="H66">
        <v>371800</v>
      </c>
      <c r="I66">
        <v>147753</v>
      </c>
      <c r="J66" t="s">
        <v>186</v>
      </c>
      <c r="K66" t="s">
        <v>95</v>
      </c>
      <c r="L66" s="41">
        <v>42921</v>
      </c>
    </row>
    <row r="67" spans="1:12" ht="12.75" customHeight="1" x14ac:dyDescent="0.2">
      <c r="A67">
        <v>695</v>
      </c>
      <c r="B67" t="s">
        <v>31</v>
      </c>
      <c r="C67">
        <v>6333</v>
      </c>
      <c r="D67" t="s">
        <v>57</v>
      </c>
      <c r="E67" t="s">
        <v>94</v>
      </c>
      <c r="F67" t="s">
        <v>94</v>
      </c>
      <c r="G67">
        <v>232930</v>
      </c>
      <c r="H67">
        <v>320200</v>
      </c>
      <c r="I67">
        <v>147347</v>
      </c>
      <c r="J67" t="s">
        <v>187</v>
      </c>
      <c r="K67" t="s">
        <v>95</v>
      </c>
      <c r="L67" s="41">
        <v>42927</v>
      </c>
    </row>
    <row r="68" spans="1:12" ht="12.75" customHeight="1" x14ac:dyDescent="0.2">
      <c r="A68">
        <v>695</v>
      </c>
      <c r="B68" t="s">
        <v>31</v>
      </c>
      <c r="C68">
        <v>6333</v>
      </c>
      <c r="D68" t="s">
        <v>57</v>
      </c>
      <c r="E68" t="s">
        <v>94</v>
      </c>
      <c r="F68" t="s">
        <v>94</v>
      </c>
      <c r="G68">
        <v>232930</v>
      </c>
      <c r="H68">
        <v>320200</v>
      </c>
      <c r="I68">
        <v>147347</v>
      </c>
      <c r="J68" t="s">
        <v>188</v>
      </c>
      <c r="K68" t="s">
        <v>95</v>
      </c>
      <c r="L68" s="41">
        <v>42933</v>
      </c>
    </row>
    <row r="69" spans="1:12" ht="12.75" customHeight="1" x14ac:dyDescent="0.2">
      <c r="A69">
        <v>695</v>
      </c>
      <c r="B69" t="s">
        <v>31</v>
      </c>
      <c r="C69">
        <v>3029</v>
      </c>
      <c r="D69" t="s">
        <v>61</v>
      </c>
      <c r="E69" t="s">
        <v>189</v>
      </c>
      <c r="F69" t="s">
        <v>189</v>
      </c>
      <c r="G69">
        <v>173833</v>
      </c>
      <c r="H69">
        <v>193000</v>
      </c>
      <c r="I69">
        <v>158877</v>
      </c>
      <c r="J69" t="s">
        <v>190</v>
      </c>
      <c r="K69" t="s">
        <v>93</v>
      </c>
      <c r="L69" s="41">
        <v>42934</v>
      </c>
    </row>
    <row r="70" spans="1:12" ht="12.75" customHeight="1" x14ac:dyDescent="0.2">
      <c r="A70">
        <v>695</v>
      </c>
      <c r="B70" t="s">
        <v>31</v>
      </c>
      <c r="C70">
        <v>6147</v>
      </c>
      <c r="D70" t="s">
        <v>54</v>
      </c>
      <c r="E70" t="s">
        <v>101</v>
      </c>
      <c r="F70" t="s">
        <v>101</v>
      </c>
      <c r="G70">
        <v>206046</v>
      </c>
      <c r="H70">
        <v>276850</v>
      </c>
      <c r="I70">
        <v>143989</v>
      </c>
      <c r="J70" t="s">
        <v>191</v>
      </c>
      <c r="K70" t="s">
        <v>102</v>
      </c>
      <c r="L70" s="41">
        <v>42935</v>
      </c>
    </row>
  </sheetData>
  <phoneticPr fontId="9" type="noConversion"/>
  <printOptions horizontalCentered="1"/>
  <pageMargins left="0.7" right="0.7" top="0.75" bottom="0.75" header="0.3" footer="0.3"/>
  <pageSetup scale="94" orientation="portrait" verticalDpi="90" r:id="rId1"/>
  <headerFooter>
    <oddHeader>&amp;L&amp;"Arial,Bold"Event 1 Liberty Reports
for Vista by Viewpoint&amp;C&amp;"Arial,Bold"&amp;16Report Title&amp;"-,Regular"&amp;11
&amp;"Arial,Bold"Trial Balance&amp;R&amp;"Arial,Bold"&amp;D
&amp;T</oddHeader>
    <oddFooter>&amp;L&amp;Z&amp;F&amp;CCONFIDENTIAL&amp;RPage &amp;P of &amp;N</oddFooter>
  </headerFooter>
  <colBreaks count="1" manualBreakCount="1">
    <brk id="28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ampleValues">
    <tabColor rgb="FF92D050"/>
  </sheetPr>
  <dimension ref="B2:I16"/>
  <sheetViews>
    <sheetView showGridLines="0" workbookViewId="0">
      <selection activeCell="C6" sqref="C6"/>
    </sheetView>
  </sheetViews>
  <sheetFormatPr defaultRowHeight="12.75" x14ac:dyDescent="0.2"/>
  <cols>
    <col min="1" max="1" width="4.140625" style="4" customWidth="1"/>
    <col min="2" max="2" width="17.5703125" style="4" customWidth="1"/>
    <col min="3" max="3" width="17.85546875" style="9" customWidth="1"/>
    <col min="4" max="16384" width="9.140625" style="4"/>
  </cols>
  <sheetData>
    <row r="2" spans="2:9" ht="35.25" customHeight="1" x14ac:dyDescent="0.2">
      <c r="B2" s="46" t="s">
        <v>27</v>
      </c>
      <c r="C2" s="47"/>
      <c r="D2" s="47"/>
      <c r="E2" s="47"/>
      <c r="F2" s="47"/>
      <c r="G2" s="47"/>
      <c r="H2" s="47"/>
      <c r="I2" s="47"/>
    </row>
    <row r="3" spans="2:9" x14ac:dyDescent="0.2">
      <c r="B3" s="14" t="s">
        <v>4</v>
      </c>
    </row>
    <row r="4" spans="2:9" x14ac:dyDescent="0.2">
      <c r="B4" s="14"/>
    </row>
    <row r="5" spans="2:9" x14ac:dyDescent="0.2">
      <c r="B5" s="14" t="s">
        <v>8</v>
      </c>
    </row>
    <row r="6" spans="2:9" x14ac:dyDescent="0.2">
      <c r="B6" s="17"/>
      <c r="C6" s="19"/>
    </row>
    <row r="7" spans="2:9" x14ac:dyDescent="0.2">
      <c r="B7" s="17"/>
      <c r="C7" s="20"/>
    </row>
    <row r="8" spans="2:9" x14ac:dyDescent="0.2">
      <c r="B8" s="17"/>
      <c r="C8" s="22"/>
    </row>
    <row r="9" spans="2:9" x14ac:dyDescent="0.2">
      <c r="B9" s="17"/>
      <c r="C9" s="18"/>
    </row>
    <row r="11" spans="2:9" x14ac:dyDescent="0.2">
      <c r="B11" s="14" t="s">
        <v>8</v>
      </c>
    </row>
    <row r="12" spans="2:9" x14ac:dyDescent="0.2">
      <c r="B12" s="17"/>
      <c r="C12" s="19"/>
    </row>
    <row r="13" spans="2:9" x14ac:dyDescent="0.2">
      <c r="B13" s="17"/>
      <c r="C13" s="20"/>
    </row>
    <row r="14" spans="2:9" x14ac:dyDescent="0.2">
      <c r="B14" s="17"/>
      <c r="C14" s="21"/>
    </row>
    <row r="15" spans="2:9" x14ac:dyDescent="0.2">
      <c r="B15" s="17"/>
      <c r="C15" s="18"/>
    </row>
    <row r="16" spans="2:9" x14ac:dyDescent="0.2">
      <c r="B16" s="17"/>
      <c r="C16" s="18"/>
    </row>
  </sheetData>
  <mergeCells count="1">
    <mergeCell ref="B2:I2"/>
  </mergeCells>
  <phoneticPr fontId="7" type="noConversion"/>
  <pageMargins left="0.7" right="0.7" top="0.75" bottom="0.75" header="0.3" footer="0.3"/>
  <pageSetup orientation="portrait" horizontalDpi="360" verticalDpi="360" r:id="rId1"/>
  <headerFooter>
    <oddHeader>&amp;L&amp;"-,Bold"Event 1 Liberty Reports
for Vista by Viewpoint&amp;C&amp;"-,Bold"&amp;16Report Title&amp;"-,Regular"&amp;11
&amp;"-,Bold"Sample Values&amp;R&amp;"-,Bold"&amp;D
&amp;T</oddHeader>
    <oddFooter>&amp;L&amp;Z&amp;F&amp;RPage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honeticPr fontId="7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QL"/>
  <dimension ref="A2:B14"/>
  <sheetViews>
    <sheetView workbookViewId="0">
      <selection activeCell="D5" sqref="D5"/>
    </sheetView>
  </sheetViews>
  <sheetFormatPr defaultRowHeight="12.75" x14ac:dyDescent="0.2"/>
  <cols>
    <col min="1" max="1" width="5.7109375" style="28" customWidth="1"/>
    <col min="2" max="2" width="87.28515625" style="28" customWidth="1"/>
    <col min="3" max="16384" width="9.140625" style="28"/>
  </cols>
  <sheetData>
    <row r="2" spans="1:2" ht="14.25" x14ac:dyDescent="0.3">
      <c r="A2" s="34" t="s">
        <v>14</v>
      </c>
      <c r="B2" s="28" t="s">
        <v>16</v>
      </c>
    </row>
    <row r="4" spans="1:2" x14ac:dyDescent="0.2">
      <c r="B4" s="29" t="s">
        <v>9</v>
      </c>
    </row>
    <row r="5" spans="1:2" ht="348.75" x14ac:dyDescent="0.2">
      <c r="B5" s="48" t="s">
        <v>195</v>
      </c>
    </row>
    <row r="7" spans="1:2" x14ac:dyDescent="0.2">
      <c r="B7" s="29" t="s">
        <v>9</v>
      </c>
    </row>
    <row r="8" spans="1:2" x14ac:dyDescent="0.2">
      <c r="B8" s="30" t="s">
        <v>10</v>
      </c>
    </row>
    <row r="10" spans="1:2" x14ac:dyDescent="0.2">
      <c r="B10" s="29" t="s">
        <v>9</v>
      </c>
    </row>
    <row r="11" spans="1:2" x14ac:dyDescent="0.2">
      <c r="B11" s="30" t="s">
        <v>10</v>
      </c>
    </row>
    <row r="13" spans="1:2" x14ac:dyDescent="0.2">
      <c r="B13" s="29" t="s">
        <v>9</v>
      </c>
    </row>
    <row r="14" spans="1:2" x14ac:dyDescent="0.2">
      <c r="B14" s="30" t="s">
        <v>10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LRConnections/>
</file>

<file path=customXml/itemProps1.xml><?xml version="1.0" encoding="utf-8"?>
<ds:datastoreItem xmlns:ds="http://schemas.openxmlformats.org/officeDocument/2006/customXml" ds:itemID="{F0DA8B61-A076-4627-B591-428EA6F639E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Information</vt:lpstr>
      <vt:lpstr>Admin</vt:lpstr>
      <vt:lpstr>Dashboard</vt:lpstr>
      <vt:lpstr>SoldPlansData</vt:lpstr>
      <vt:lpstr>Sample Values</vt:lpstr>
      <vt:lpstr>SQL</vt:lpstr>
      <vt:lpstr>MacroNotice</vt:lpstr>
      <vt:lpstr>MacroStatus</vt:lpstr>
      <vt:lpstr>Admin!Print_Area</vt:lpstr>
      <vt:lpstr>SoldPlansData!Print_Titles</vt:lpstr>
      <vt:lpstr>Admin!qryDivision</vt:lpstr>
      <vt:lpstr>SoldPlansData!qryDivision1</vt:lpstr>
      <vt:lpstr>Admin!qrySubdivision</vt:lpstr>
      <vt:lpstr>RevisionDate</vt:lpstr>
      <vt:lpstr>RevisionNumber</vt:lpstr>
      <vt:lpstr>TemplateName</vt:lpstr>
    </vt:vector>
  </TitlesOfParts>
  <Company>Event 1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Filename.xlt</dc:title>
  <dc:subject>Event 1 Liberty Reports</dc:subject>
  <dc:creator>Jason Jones</dc:creator>
  <cp:lastModifiedBy>Jason Jones</cp:lastModifiedBy>
  <cp:lastPrinted>2008-12-26T21:35:49Z</cp:lastPrinted>
  <dcterms:created xsi:type="dcterms:W3CDTF">2007-11-10T05:42:42Z</dcterms:created>
  <dcterms:modified xsi:type="dcterms:W3CDTF">2017-07-20T23:03:08Z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oredFunctionResults">
    <vt:lpwstr>0</vt:lpwstr>
  </property>
  <property fmtid="{D5CDD505-2E9C-101B-9397-08002B2CF9AE}" pid="3" name="Template Version">
    <vt:lpwstr>v01.0002</vt:lpwstr>
  </property>
  <property fmtid="{D5CDD505-2E9C-101B-9397-08002B2CF9AE}" pid="4" name="LRConnection1">
    <vt:lpwstr>Name="Sales Simplicity";Type="Sales Simplicity";Database="CardelAB";Behavior="2";Alias="True";AutoDetected="True";Hidden="False"</vt:lpwstr>
  </property>
  <property fmtid="{D5CDD505-2E9C-101B-9397-08002B2CF9AE}" pid="5" name="LRVersion">
    <vt:lpwstr>Version 1.00.0073</vt:lpwstr>
  </property>
</Properties>
</file>