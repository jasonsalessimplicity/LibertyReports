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"/>
    </mc:Choice>
  </mc:AlternateContent>
  <bookViews>
    <workbookView xWindow="0" yWindow="135" windowWidth="15135" windowHeight="7365" activeTab="1"/>
  </bookViews>
  <sheets>
    <sheet name="Information" sheetId="4" r:id="rId1"/>
    <sheet name="Admin" sheetId="10" r:id="rId2"/>
    <sheet name="Report" sheetId="14" r:id="rId3"/>
    <sheet name="Sample Values" sheetId="5" r:id="rId4"/>
    <sheet name="ColumnLists" sheetId="6" state="veryHidden" r:id="rId5"/>
    <sheet name="SQL" sheetId="18" r:id="rId6"/>
    <sheet name="Cache" sheetId="19" state="veryHidden" r:id="rId7"/>
  </sheets>
  <functionGroups builtInGroupCount="18"/>
  <externalReferences>
    <externalReference r:id="rId8"/>
  </externalReferences>
  <definedNames>
    <definedName name="_xlnm._FilterDatabase" localSheetId="2" hidden="1">Report!$K$1:$K$133</definedName>
    <definedName name="Disclaimer">Information!#REF!</definedName>
    <definedName name="DivisionID">Admin!$D$5</definedName>
    <definedName name="EndDate">Admin!$C$11</definedName>
    <definedName name="FromDate">Admin!$C$9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2">Report!$1:$5</definedName>
    <definedName name="qryAREA" localSheetId="1">Admin!$R$1:$R$10</definedName>
    <definedName name="qryDIVISION" localSheetId="1">Admin!$Q$1:$Q$13</definedName>
    <definedName name="qryJOB1" localSheetId="2">Report!$A$5:$B$17</definedName>
    <definedName name="ReportAreaName">Admin!$C$7</definedName>
    <definedName name="ReportDivision">Admin!$C$5</definedName>
    <definedName name="RevisionDate">Information!$D$45</definedName>
    <definedName name="RevisionNumber">Information!$D$44</definedName>
    <definedName name="TemplateName">Information!$D$2</definedName>
  </definedNames>
  <calcPr calcId="171027"/>
  <pivotCaches>
    <pivotCache cacheId="49" r:id="rId9"/>
  </pivotCaches>
</workbook>
</file>

<file path=xl/calcChain.xml><?xml version="1.0" encoding="utf-8"?>
<calcChain xmlns="http://schemas.openxmlformats.org/spreadsheetml/2006/main">
  <c r="A3" i="14" l="1"/>
  <c r="D7" i="10"/>
  <c r="D5" i="10"/>
</calcChain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Builder MT - WMS" command="SELECT DISTINCT _x000d__x000a_  &quot;DIV_NAME&quot; AS &quot;DIV_NAME&quot;_x000d__x000a__x000d__x000a_FROM _x000d__x000a_  DIVISION_x000d__x000a__x000d__x000a_ORDER BY _x000d__x000a_  &quot;DIV_NAME&quot;_x000d__x000a__x000d__x000a_"/>
  </connection>
  <connection id="2" name="Connection1" type="1" refreshedVersion="6" saveData="1">
    <dbPr connection="LR:Builder MT - WMS" command="SELECT DISTINCT _x000d__x000a_  &quot;AREA_DESC&quot; AS &quot;AREA_DESC&quot;_x000d__x000a__x000d__x000a_FROM _x000d__x000a_  AREA_x000d__x000a__x000d__x000a_WHERE _x000d__x000a_  &quot;DIV_ID&quot;=?  _x000d__x000a__x000d__x000a_"/>
    <parameters count="1">
      <parameter name="Parameter1" sqlType="8" parameterType="cell" refreshOnChange="1" cell="Admin!$D$5"/>
    </parameters>
  </connection>
  <connection id="3" name="Connection3" type="1" refreshedVersion="6" saveData="1">
    <dbPr connection="LR:Builder MT - WMS" command="SELECT _x000d__x000a_  JOB.&quot;SUPERVISOR&quot; AS &quot;SUPERVISOR&quot;, _x000d__x000a_  SCHEDULE.&quot;PLUSMINUS_DAYS&quot; AS &quot;PLUSMINUS_DAYS&quot;_x000d__x000a__x000d__x000a_FROM _x000d__x000a_  JOB_x000d__x000a_  LEFT OUTER JOIN SCHEDULE ON JOB.&quot;JOB_NUMBER&quot; = SCHEDULE.&quot;JOB_NUMBER&quot;_x000d__x000a_  LEFT OUTER JOIN AREA ON JOB.&quot;AREA_ID&quot; = AREA.&quot;AREA_ID&quot;_x000d__x000a__x000d__x000a_WHERE _x000d__x000a_  AREA.&quot;AREA_DESC&quot;=? AND _x000d__x000a_  SCHEDULE.&quot;DATE_TO_START&quot;&gt;=? AND _x000d__x000a_  SCHEDULE.&quot;DATE_TO_END&quot;&lt;=?   _x000d__x000a__x000d__x000a_"/>
    <parameters count="3">
      <parameter name="Parameter1" sqlType="1" parameterType="cell" refreshOnChange="1" cell="Admin!$C$7"/>
      <parameter name="Parameter2" sqlType="9" parameterType="cell" refreshOnChange="1" cell="Admin!$C$9"/>
      <parameter name="Parameter3" sqlType="9" parameterType="cell" refreshOnChange="1" cell="Admin!$C$11"/>
    </parameters>
  </connection>
</connections>
</file>

<file path=xl/sharedStrings.xml><?xml version="1.0" encoding="utf-8"?>
<sst xmlns="http://schemas.openxmlformats.org/spreadsheetml/2006/main" count="83" uniqueCount="62">
  <si>
    <t>Purpose</t>
  </si>
  <si>
    <t>About the Design</t>
  </si>
  <si>
    <t>Requirements</t>
  </si>
  <si>
    <t>Revision Number</t>
  </si>
  <si>
    <t>Parameter Values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</si>
  <si>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</si>
  <si>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</si>
  <si>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</si>
  <si>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</si>
  <si>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</si>
  <si>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</si>
  <si>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</si>
  <si>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</si>
  <si>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</si>
  <si>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</si>
  <si>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</si>
  <si>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</si>
  <si>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</si>
  <si>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</si>
  <si>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</si>
  <si>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</si>
  <si>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</si>
  <si>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</si>
  <si>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</si>
  <si>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</si>
  <si>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</t>
  </si>
  <si>
    <t>Area/Subdivision:</t>
  </si>
  <si>
    <t>DIV_NAME</t>
  </si>
  <si>
    <t>Company Default</t>
  </si>
  <si>
    <t>DIV_ID</t>
  </si>
  <si>
    <t>AREA_DESC</t>
  </si>
  <si>
    <t>Division Default</t>
  </si>
  <si>
    <t>AREA_ID</t>
  </si>
  <si>
    <t>PLUSMINUS_DAYS</t>
  </si>
  <si>
    <t>AEH Detroit Central</t>
  </si>
  <si>
    <t>AEH Detroit North</t>
  </si>
  <si>
    <t>AEH Detroit South</t>
  </si>
  <si>
    <t>AEH Grand Rapids</t>
  </si>
  <si>
    <t>AEH Kalamazoo</t>
  </si>
  <si>
    <t>AEH Lakeshore</t>
  </si>
  <si>
    <t>AEH Lansing</t>
  </si>
  <si>
    <t>AEH Michiana</t>
  </si>
  <si>
    <t>AEH Northern Michigan</t>
  </si>
  <si>
    <t>AEH South Lakeshore</t>
  </si>
  <si>
    <t>Allen Edwin Homebuilders LLC</t>
  </si>
  <si>
    <t>Historical Average Schedule Days +/- Report Parameters</t>
  </si>
  <si>
    <t>From Date:</t>
  </si>
  <si>
    <t>To Date:</t>
  </si>
  <si>
    <t>SUPERVISOR</t>
  </si>
  <si>
    <t>Row Labels</t>
  </si>
  <si>
    <t>Grand Total</t>
  </si>
  <si>
    <t>Average of PLUSMINUS_DAYS</t>
  </si>
  <si>
    <t>Bellemeade 7.0</t>
  </si>
  <si>
    <t>Country Walk III 7.0</t>
  </si>
  <si>
    <t>Country Walk IV 7.0</t>
  </si>
  <si>
    <t>Detroit South Offsite 7.0</t>
  </si>
  <si>
    <t>Island Lakes at Midtown Taylor 7.0</t>
  </si>
  <si>
    <t>Majestic Lakes 7</t>
  </si>
  <si>
    <t>Townsend Park 7.0</t>
  </si>
  <si>
    <t>Tremont Park 7.0</t>
  </si>
  <si>
    <t>Mitchel Earley</t>
  </si>
  <si>
    <t>John Cugliari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</si>
</sst>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1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rgb="FF0000C0"/>
      <name val="Arial"/>
      <family val="2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i/>
      <u/>
      <sz val="12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7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2" fillId="6" borderId="0" applyNumberFormat="0" applyBorder="0" applyAlignment="0" applyProtection="0"/>
    <xf numFmtId="0" fontId="23" fillId="7" borderId="0" applyNumberFormat="0" applyBorder="0" applyAlignment="0" applyProtection="0"/>
    <xf numFmtId="0" fontId="24" fillId="8" borderId="0" applyNumberFormat="0" applyBorder="0" applyAlignment="0" applyProtection="0"/>
    <xf numFmtId="0" fontId="25" fillId="5" borderId="10" applyNumberFormat="0" applyAlignment="0" applyProtection="0"/>
    <xf numFmtId="0" fontId="26" fillId="9" borderId="12" applyNumberFormat="0" applyAlignment="0" applyProtection="0"/>
    <xf numFmtId="0" fontId="29" fillId="12" borderId="10" applyNumberFormat="0" applyAlignment="0" applyProtection="0"/>
  </cellStyleXfs>
  <cellXfs count="48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0" borderId="0" xfId="0" applyFont="1"/>
    <xf numFmtId="0" fontId="21" fillId="3" borderId="0" xfId="0" applyFont="1" applyFill="1" applyAlignment="1">
      <alignment horizontal="right"/>
    </xf>
    <xf numFmtId="0" fontId="28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4" fillId="0" borderId="0" xfId="0" applyFont="1"/>
    <xf numFmtId="0" fontId="27" fillId="10" borderId="2" xfId="4" applyAlignment="1">
      <alignment horizontal="right" wrapText="1"/>
    </xf>
    <xf numFmtId="0" fontId="29" fillId="12" borderId="10" xfId="20" applyAlignment="1">
      <alignment horizontal="left"/>
    </xf>
    <xf numFmtId="0" fontId="14" fillId="0" borderId="0" xfId="0" quotePrefix="1" applyFont="1"/>
    <xf numFmtId="14" fontId="29" fillId="12" borderId="10" xfId="20" applyNumberForma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13" borderId="0" xfId="0" applyFont="1" applyFill="1"/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[SupervisorPlusMinus.xlsm]Admin!PivotTable5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Supervisor Average Days +/-</a:t>
            </a:r>
          </a:p>
        </c:rich>
      </c:tx>
      <c:layout>
        <c:manualLayout>
          <c:xMode val="edge"/>
          <c:yMode val="edge"/>
          <c:x val="0.41385148847932973"/>
          <c:y val="7.05805150351156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</c:pivotFmts>
    <c:plotArea>
      <c:layout>
        <c:manualLayout>
          <c:layoutTarget val="inner"/>
          <c:xMode val="edge"/>
          <c:yMode val="edge"/>
          <c:x val="4.8347806745727064E-2"/>
          <c:y val="0.16027252615725959"/>
          <c:w val="0.9399000555134982"/>
          <c:h val="0.611004351674638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Admin!$C$13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Admin!$B$14:$B$16</c:f>
              <c:strCache>
                <c:ptCount val="2"/>
                <c:pt idx="0">
                  <c:v>Mitchel Earley</c:v>
                </c:pt>
                <c:pt idx="1">
                  <c:v>John Cugliari</c:v>
                </c:pt>
              </c:strCache>
            </c:strRef>
          </c:cat>
          <c:val>
            <c:numRef>
              <c:f>Admin!$C$14:$C$16</c:f>
              <c:numCache>
                <c:formatCode>0</c:formatCode>
                <c:ptCount val="2"/>
                <c:pt idx="0">
                  <c:v>17</c:v>
                </c:pt>
                <c:pt idx="1">
                  <c:v>22.09090909090909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29-4BE8-B8ED-87F3A5E1EAF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4400520"/>
        <c:axId val="754397568"/>
      </c:barChart>
      <c:catAx>
        <c:axId val="754400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397568"/>
        <c:crosses val="autoZero"/>
        <c:auto val="1"/>
        <c:lblAlgn val="ctr"/>
        <c:lblOffset val="100"/>
        <c:noMultiLvlLbl val="0"/>
      </c:catAx>
      <c:valAx>
        <c:axId val="7543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400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171450</xdr:rowOff>
    </xdr:from>
    <xdr:to>
      <xdr:col>23</xdr:col>
      <xdr:colOff>495300</xdr:colOff>
      <xdr:row>35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38859E-2FE5-4474-BEBF-CA4533D422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4</xdr:row>
          <xdr:rowOff>114300</xdr:rowOff>
        </xdr:from>
        <xdr:to>
          <xdr:col>8</xdr:col>
          <xdr:colOff>238125</xdr:colOff>
          <xdr:row>7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EEA08133-ACC7-4D7D-A779-DF0E8505A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1" i="1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50.475711574072" createdVersion="6" refreshedVersion="6" minRefreshableVersion="3" recordCount="12">
  <cacheSource type="worksheet">
    <worksheetSource name="qryJOB1" sheet="Report"/>
  </cacheSource>
  <cacheFields count="2">
    <cacheField name="SUPERVISOR" numFmtId="0">
      <sharedItems containsBlank="1" count="8">
        <s v="Mitchel Earley"/>
        <s v="John Cugliari"/>
        <m u="1"/>
        <s v="Jon Morrison" u="1"/>
        <s v="Justin Wilson" u="1"/>
        <s v="Brent Tucker" u="1"/>
        <s v="Kirk Lubahn" u="1"/>
        <s v="Ken Wygal" u="1"/>
      </sharedItems>
    </cacheField>
    <cacheField name="PLUSMINUS_DAYS" numFmtId="0">
      <sharedItems containsSemiMixedTypes="0" containsString="0" containsNumber="1" containsInteger="1" minValue="0" maxValue="1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n v="17"/>
  </r>
  <r>
    <x v="1"/>
    <n v="35"/>
  </r>
  <r>
    <x v="1"/>
    <n v="3"/>
  </r>
  <r>
    <x v="1"/>
    <n v="0"/>
  </r>
  <r>
    <x v="1"/>
    <n v="4"/>
  </r>
  <r>
    <x v="1"/>
    <n v="32"/>
  </r>
  <r>
    <x v="1"/>
    <n v="102"/>
  </r>
  <r>
    <x v="1"/>
    <n v="0"/>
  </r>
  <r>
    <x v="1"/>
    <n v="25"/>
  </r>
  <r>
    <x v="1"/>
    <n v="0"/>
  </r>
  <r>
    <x v="1"/>
    <n v="22"/>
  </r>
  <r>
    <x v="1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13:C16" firstHeaderRow="1" firstDataRow="1" firstDataCol="1"/>
  <pivotFields count="2">
    <pivotField axis="axisRow" subtotalTop="0" showAll="0">
      <items count="9">
        <item m="1" x="3"/>
        <item m="1" x="7"/>
        <item m="1" x="5"/>
        <item m="1" x="2"/>
        <item m="1" x="6"/>
        <item m="1" x="4"/>
        <item x="0"/>
        <item x="1"/>
        <item t="default"/>
      </items>
    </pivotField>
    <pivotField dataField="1" subtotalTop="0" showAll="0"/>
  </pivotFields>
  <rowFields count="1">
    <field x="0"/>
  </rowFields>
  <rowItems count="3">
    <i>
      <x v="6"/>
    </i>
    <i>
      <x v="7"/>
    </i>
    <i t="grand">
      <x/>
    </i>
  </rowItems>
  <colItems count="1">
    <i/>
  </colItems>
  <dataFields count="1">
    <dataField name="Average of PLUSMINUS_DAYS" fld="1" subtotal="average" baseField="0" baseItem="0" numFmtId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AREA" backgroundRefresh="0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AREA_DESC"/>
    </queryTableFields>
  </queryTableRefresh>
</queryTable>
</file>

<file path=xl/queryTables/queryTable2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DIV_NAME"/>
    </queryTableFields>
  </queryTableRefresh>
</queryTable>
</file>

<file path=xl/queryTables/queryTable3.xml><?xml version="1.0" encoding="utf-8"?>
<queryTable xmlns="http://schemas.openxmlformats.org/spreadsheetml/2006/main" name="qryJOB1" backgroundRefresh="0" fillFormulas="1" adjustColumnWidth="0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SUPERVISOR"/>
      <queryTableField id="2" name="PLUSMINUS_DAY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queryTable" Target="../queryTables/queryTable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11</v>
      </c>
      <c r="D2" s="11" t="s">
        <v>21</v>
      </c>
    </row>
    <row r="4" spans="2:6" ht="12.75" customHeight="1" x14ac:dyDescent="0.2">
      <c r="B4" s="15" t="s">
        <v>0</v>
      </c>
      <c r="D4" s="1" t="s">
        <v>16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5</v>
      </c>
      <c r="D10" s="34" t="s">
        <v>18</v>
      </c>
      <c r="F10"/>
    </row>
    <row r="11" spans="2:6" s="24" customFormat="1" ht="26.25" thickTop="1" x14ac:dyDescent="0.2">
      <c r="B11" s="26"/>
      <c r="D11" s="8" t="s">
        <v>19</v>
      </c>
    </row>
    <row r="12" spans="2:6" s="24" customFormat="1" x14ac:dyDescent="0.2">
      <c r="B12" s="26"/>
      <c r="D12" s="27" t="s">
        <v>6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22</v>
      </c>
    </row>
    <row r="15" spans="2:6" s="24" customFormat="1" x14ac:dyDescent="0.2">
      <c r="B15" s="26"/>
      <c r="D15" s="7" t="s">
        <v>23</v>
      </c>
    </row>
    <row r="17" spans="2:4" ht="12.75" customHeight="1" x14ac:dyDescent="0.2">
      <c r="B17" s="23" t="s">
        <v>14</v>
      </c>
      <c r="D17" s="2" t="s">
        <v>17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10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5" t="s">
        <v>20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R30"/>
  <sheetViews>
    <sheetView showGridLines="0" tabSelected="1" zoomScaleNormal="100" workbookViewId="0">
      <selection activeCell="L10" sqref="L10"/>
    </sheetView>
  </sheetViews>
  <sheetFormatPr defaultColWidth="8.7109375" defaultRowHeight="15.95" customHeight="1" x14ac:dyDescent="0.2"/>
  <cols>
    <col min="1" max="1" width="8.7109375" style="13"/>
    <col min="2" max="2" width="13.85546875" style="13" customWidth="1"/>
    <col min="3" max="3" width="29" style="16" customWidth="1"/>
    <col min="4" max="4" width="10.7109375" style="13" hidden="1" customWidth="1"/>
    <col min="5" max="7" width="10.7109375" style="13" customWidth="1"/>
    <col min="8" max="16" width="8.7109375" style="13"/>
    <col min="17" max="17" width="20.140625" style="13" hidden="1" customWidth="1"/>
    <col min="18" max="18" width="14.5703125" style="13" hidden="1" customWidth="1"/>
    <col min="19" max="16384" width="8.7109375" style="13"/>
  </cols>
  <sheetData>
    <row r="1" spans="2:18" ht="12.75" x14ac:dyDescent="0.2">
      <c r="Q1" s="39" t="s">
        <v>27</v>
      </c>
      <c r="R1" s="39" t="s">
        <v>30</v>
      </c>
    </row>
    <row r="2" spans="2:18" ht="18.75" thickBot="1" x14ac:dyDescent="0.3">
      <c r="B2" s="36" t="s">
        <v>45</v>
      </c>
      <c r="C2" s="36"/>
      <c r="D2" s="36"/>
      <c r="E2" s="36"/>
      <c r="F2" s="36"/>
      <c r="G2" s="36"/>
      <c r="Q2" s="13" t="s">
        <v>34</v>
      </c>
      <c r="R2" s="13" t="s">
        <v>52</v>
      </c>
    </row>
    <row r="3" spans="2:18" ht="13.5" thickTop="1" x14ac:dyDescent="0.2">
      <c r="Q3" s="13" t="s">
        <v>35</v>
      </c>
      <c r="R3" s="13" t="s">
        <v>53</v>
      </c>
    </row>
    <row r="4" spans="2:18" ht="15.95" customHeight="1" x14ac:dyDescent="0.2">
      <c r="B4"/>
      <c r="D4" s="42" t="s">
        <v>29</v>
      </c>
      <c r="Q4" s="13" t="s">
        <v>36</v>
      </c>
      <c r="R4" s="13" t="s">
        <v>54</v>
      </c>
    </row>
    <row r="5" spans="2:18" ht="15.95" customHeight="1" x14ac:dyDescent="0.25">
      <c r="B5" s="40" t="s">
        <v>25</v>
      </c>
      <c r="C5" s="41" t="s">
        <v>36</v>
      </c>
      <c r="D5" s="13">
        <f>[1]!DBFind("Builder MT - WMS", "DIVISION", "DIV_ID", """DIV_NAME""=?", "First", ReportDivision)</f>
        <v>17</v>
      </c>
      <c r="F5" s="47"/>
      <c r="G5" s="47"/>
      <c r="H5" s="47"/>
      <c r="Q5" s="13" t="s">
        <v>37</v>
      </c>
      <c r="R5" s="13" t="s">
        <v>55</v>
      </c>
    </row>
    <row r="6" spans="2:18" ht="15.95" customHeight="1" x14ac:dyDescent="0.2">
      <c r="D6" s="42" t="s">
        <v>32</v>
      </c>
      <c r="F6" s="47"/>
      <c r="G6" s="47"/>
      <c r="H6" s="47"/>
      <c r="Q6" s="13" t="s">
        <v>38</v>
      </c>
      <c r="R6" s="13" t="s">
        <v>31</v>
      </c>
    </row>
    <row r="7" spans="2:18" ht="15.95" customHeight="1" x14ac:dyDescent="0.25">
      <c r="B7" s="40" t="s">
        <v>26</v>
      </c>
      <c r="C7" s="41" t="s">
        <v>56</v>
      </c>
      <c r="D7" s="13">
        <f>[1]!DBFind("Builder MT - WMS", "AREA", "AREA_ID", """AREA_DESC""=?", "First", ReportAreaName)</f>
        <v>412</v>
      </c>
      <c r="F7" s="47"/>
      <c r="G7" s="47"/>
      <c r="H7" s="47"/>
      <c r="Q7" s="13" t="s">
        <v>39</v>
      </c>
      <c r="R7" s="13" t="s">
        <v>56</v>
      </c>
    </row>
    <row r="8" spans="2:18" ht="15.95" customHeight="1" x14ac:dyDescent="0.2">
      <c r="B8"/>
      <c r="F8" s="47"/>
      <c r="G8" s="47"/>
      <c r="H8" s="47"/>
      <c r="Q8" s="13" t="s">
        <v>40</v>
      </c>
      <c r="R8" s="13" t="s">
        <v>57</v>
      </c>
    </row>
    <row r="9" spans="2:18" ht="15.95" customHeight="1" x14ac:dyDescent="0.25">
      <c r="B9" s="40" t="s">
        <v>46</v>
      </c>
      <c r="C9" s="43">
        <v>42005</v>
      </c>
      <c r="Q9" s="13" t="s">
        <v>41</v>
      </c>
      <c r="R9" s="13" t="s">
        <v>58</v>
      </c>
    </row>
    <row r="10" spans="2:18" ht="15.95" customHeight="1" x14ac:dyDescent="0.2">
      <c r="Q10" s="13" t="s">
        <v>42</v>
      </c>
      <c r="R10" s="13" t="s">
        <v>59</v>
      </c>
    </row>
    <row r="11" spans="2:18" ht="15.95" customHeight="1" x14ac:dyDescent="0.25">
      <c r="B11" s="40" t="s">
        <v>47</v>
      </c>
      <c r="C11" s="43">
        <v>42950</v>
      </c>
      <c r="Q11" s="13" t="s">
        <v>43</v>
      </c>
    </row>
    <row r="12" spans="2:18" ht="15.95" customHeight="1" x14ac:dyDescent="0.2">
      <c r="Q12" s="13" t="s">
        <v>44</v>
      </c>
    </row>
    <row r="13" spans="2:18" ht="15.95" customHeight="1" x14ac:dyDescent="0.2">
      <c r="B13" s="44" t="s">
        <v>49</v>
      </c>
      <c r="C13" t="s">
        <v>51</v>
      </c>
      <c r="D13"/>
      <c r="Q13" s="13" t="s">
        <v>28</v>
      </c>
    </row>
    <row r="14" spans="2:18" ht="15.95" customHeight="1" x14ac:dyDescent="0.2">
      <c r="B14" s="45" t="s">
        <v>60</v>
      </c>
      <c r="C14" s="46">
        <v>17</v>
      </c>
      <c r="D14"/>
    </row>
    <row r="15" spans="2:18" ht="15.95" customHeight="1" x14ac:dyDescent="0.2">
      <c r="B15" s="45" t="s">
        <v>61</v>
      </c>
      <c r="C15" s="46">
        <v>22.09090909090909</v>
      </c>
      <c r="D15"/>
    </row>
    <row r="16" spans="2:18" ht="15.95" customHeight="1" x14ac:dyDescent="0.2">
      <c r="B16" s="45" t="s">
        <v>50</v>
      </c>
      <c r="C16" s="46">
        <v>21.666666666666668</v>
      </c>
      <c r="D16"/>
    </row>
    <row r="17" spans="2:4" ht="15.95" customHeight="1" x14ac:dyDescent="0.2">
      <c r="B17"/>
      <c r="C17"/>
      <c r="D17"/>
    </row>
    <row r="18" spans="2:4" ht="15.95" customHeight="1" x14ac:dyDescent="0.2">
      <c r="B18"/>
      <c r="C18"/>
      <c r="D18"/>
    </row>
    <row r="19" spans="2:4" ht="15.95" customHeight="1" x14ac:dyDescent="0.2">
      <c r="B19"/>
      <c r="C19"/>
      <c r="D19"/>
    </row>
    <row r="20" spans="2:4" ht="15.95" customHeight="1" x14ac:dyDescent="0.2">
      <c r="B20"/>
      <c r="C20"/>
      <c r="D20"/>
    </row>
    <row r="21" spans="2:4" ht="15.95" customHeight="1" x14ac:dyDescent="0.2">
      <c r="B21"/>
      <c r="C21"/>
      <c r="D21"/>
    </row>
    <row r="22" spans="2:4" ht="15.95" customHeight="1" x14ac:dyDescent="0.2">
      <c r="B22"/>
      <c r="C22"/>
      <c r="D22"/>
    </row>
    <row r="23" spans="2:4" ht="15.95" customHeight="1" x14ac:dyDescent="0.2">
      <c r="B23"/>
      <c r="C23"/>
      <c r="D23"/>
    </row>
    <row r="24" spans="2:4" ht="15.95" customHeight="1" x14ac:dyDescent="0.2">
      <c r="B24"/>
      <c r="C24"/>
      <c r="D24"/>
    </row>
    <row r="25" spans="2:4" ht="15.95" customHeight="1" x14ac:dyDescent="0.2">
      <c r="B25"/>
      <c r="C25"/>
      <c r="D25"/>
    </row>
    <row r="26" spans="2:4" ht="15.95" customHeight="1" x14ac:dyDescent="0.2">
      <c r="B26"/>
      <c r="C26"/>
      <c r="D26"/>
    </row>
    <row r="27" spans="2:4" ht="15.95" customHeight="1" x14ac:dyDescent="0.2">
      <c r="B27"/>
      <c r="C27"/>
      <c r="D27"/>
    </row>
    <row r="28" spans="2:4" ht="15.95" customHeight="1" x14ac:dyDescent="0.2">
      <c r="B28"/>
      <c r="C28"/>
      <c r="D28"/>
    </row>
    <row r="29" spans="2:4" ht="15.95" customHeight="1" x14ac:dyDescent="0.2">
      <c r="B29"/>
      <c r="C29"/>
      <c r="D29"/>
    </row>
    <row r="30" spans="2:4" ht="15.95" customHeight="1" x14ac:dyDescent="0.2">
      <c r="B30"/>
      <c r="C30"/>
      <c r="D30"/>
    </row>
  </sheetData>
  <mergeCells count="1">
    <mergeCell ref="B2:G2"/>
  </mergeCells>
  <phoneticPr fontId="9" type="noConversion"/>
  <dataValidations count="2">
    <dataValidation type="list" allowBlank="1" showInputMessage="1" showErrorMessage="1" sqref="C5">
      <formula1>qryDIVISION</formula1>
    </dataValidation>
    <dataValidation type="list" allowBlank="1" showInputMessage="1" showErrorMessage="1" sqref="C7">
      <formula1>qryAREA</formula1>
    </dataValidation>
  </dataValidations>
  <printOptions horizontalCentered="1"/>
  <pageMargins left="0.7" right="0.7" top="0.75" bottom="0.75" header="0.3" footer="0.3"/>
  <pageSetup orientation="portrait" verticalDpi="90" r:id="rId2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freshAllData">
                <anchor>
                  <from>
                    <xdr:col>5</xdr:col>
                    <xdr:colOff>457200</xdr:colOff>
                    <xdr:row>4</xdr:row>
                    <xdr:rowOff>114300</xdr:rowOff>
                  </from>
                  <to>
                    <xdr:col>8</xdr:col>
                    <xdr:colOff>238125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O17"/>
  <sheetViews>
    <sheetView showGridLines="0" zoomScaleNormal="100" workbookViewId="0">
      <selection activeCell="D17" sqref="D17"/>
    </sheetView>
  </sheetViews>
  <sheetFormatPr defaultColWidth="8.7109375" defaultRowHeight="12.75" customHeight="1" x14ac:dyDescent="0.2"/>
  <cols>
    <col min="1" max="1" width="13.28515625" style="13" customWidth="1"/>
    <col min="2" max="3" width="18.28515625" style="13" customWidth="1"/>
    <col min="4" max="12" width="8.7109375" customWidth="1"/>
  </cols>
  <sheetData>
    <row r="1" spans="1:15" ht="18.75" thickBot="1" x14ac:dyDescent="0.3">
      <c r="A1" s="31" t="s">
        <v>12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ht="12.75" customHeight="1" thickTop="1" x14ac:dyDescent="0.2">
      <c r="A2"/>
      <c r="B2"/>
      <c r="C2"/>
    </row>
    <row r="3" spans="1:15" ht="12.75" customHeight="1" x14ac:dyDescent="0.2">
      <c r="A3" t="str">
        <f>[1]!DBName("Sales Simplicity") &amp; ""</f>
        <v>\\JASON-PC\SQLEXPRESS\CardelAB</v>
      </c>
      <c r="B3"/>
      <c r="C3"/>
    </row>
    <row r="4" spans="1:15" ht="12.75" customHeight="1" x14ac:dyDescent="0.2">
      <c r="A4"/>
      <c r="B4"/>
      <c r="C4"/>
    </row>
    <row r="5" spans="1:15" x14ac:dyDescent="0.2">
      <c r="A5" s="39" t="s">
        <v>48</v>
      </c>
      <c r="B5" s="39" t="s">
        <v>33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</row>
    <row r="6" spans="1:15" x14ac:dyDescent="0.2">
      <c r="A6" s="13" t="s">
        <v>60</v>
      </c>
      <c r="B6" s="13">
        <v>17</v>
      </c>
      <c r="C6"/>
    </row>
    <row r="7" spans="1:15" x14ac:dyDescent="0.2">
      <c r="A7" s="13" t="s">
        <v>61</v>
      </c>
      <c r="B7" s="13">
        <v>35</v>
      </c>
      <c r="C7"/>
    </row>
    <row r="8" spans="1:15" x14ac:dyDescent="0.2">
      <c r="A8" s="13" t="s">
        <v>61</v>
      </c>
      <c r="B8" s="13">
        <v>3</v>
      </c>
      <c r="C8"/>
    </row>
    <row r="9" spans="1:15" x14ac:dyDescent="0.2">
      <c r="A9" s="13" t="s">
        <v>61</v>
      </c>
      <c r="B9" s="13">
        <v>0</v>
      </c>
      <c r="C9"/>
    </row>
    <row r="10" spans="1:15" x14ac:dyDescent="0.2">
      <c r="A10" s="13" t="s">
        <v>61</v>
      </c>
      <c r="B10" s="13">
        <v>4</v>
      </c>
      <c r="C10"/>
    </row>
    <row r="11" spans="1:15" x14ac:dyDescent="0.2">
      <c r="A11" s="13" t="s">
        <v>61</v>
      </c>
      <c r="B11" s="13">
        <v>32</v>
      </c>
      <c r="C11"/>
    </row>
    <row r="12" spans="1:15" x14ac:dyDescent="0.2">
      <c r="A12" s="13" t="s">
        <v>61</v>
      </c>
      <c r="B12" s="13">
        <v>102</v>
      </c>
      <c r="C12"/>
    </row>
    <row r="13" spans="1:15" x14ac:dyDescent="0.2">
      <c r="A13" s="13" t="s">
        <v>61</v>
      </c>
      <c r="B13" s="13">
        <v>0</v>
      </c>
      <c r="C13"/>
    </row>
    <row r="14" spans="1:15" x14ac:dyDescent="0.2">
      <c r="A14" s="13" t="s">
        <v>61</v>
      </c>
      <c r="B14" s="13">
        <v>25</v>
      </c>
      <c r="C14"/>
    </row>
    <row r="15" spans="1:15" x14ac:dyDescent="0.2">
      <c r="A15" s="13" t="s">
        <v>61</v>
      </c>
      <c r="B15" s="13">
        <v>0</v>
      </c>
      <c r="C15" s="32"/>
    </row>
    <row r="16" spans="1:15" ht="12.75" customHeight="1" x14ac:dyDescent="0.2">
      <c r="A16" s="13" t="s">
        <v>61</v>
      </c>
      <c r="B16" s="13">
        <v>22</v>
      </c>
    </row>
    <row r="17" spans="1:2" ht="12.75" customHeight="1" x14ac:dyDescent="0.2">
      <c r="A17" s="13" t="s">
        <v>61</v>
      </c>
      <c r="B17" s="13">
        <v>20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37" t="s">
        <v>24</v>
      </c>
      <c r="C2" s="38"/>
      <c r="D2" s="38"/>
      <c r="E2" s="38"/>
      <c r="F2" s="38"/>
      <c r="G2" s="38"/>
      <c r="H2" s="38"/>
      <c r="I2" s="38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7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7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3" t="s">
        <v>13</v>
      </c>
      <c r="B2" s="28" t="s">
        <v>15</v>
      </c>
    </row>
    <row r="4" spans="1:2" x14ac:dyDescent="0.2">
      <c r="B4" s="29" t="s">
        <v>8</v>
      </c>
    </row>
    <row r="5" spans="1:2" x14ac:dyDescent="0.2">
      <c r="B5" s="30" t="s">
        <v>9</v>
      </c>
    </row>
    <row r="7" spans="1:2" x14ac:dyDescent="0.2">
      <c r="B7" s="29" t="s">
        <v>8</v>
      </c>
    </row>
    <row r="8" spans="1:2" x14ac:dyDescent="0.2">
      <c r="B8" s="30" t="s">
        <v>9</v>
      </c>
    </row>
    <row r="10" spans="1:2" x14ac:dyDescent="0.2">
      <c r="B10" s="29" t="s">
        <v>8</v>
      </c>
    </row>
    <row r="11" spans="1:2" x14ac:dyDescent="0.2">
      <c r="B11" s="30" t="s">
        <v>9</v>
      </c>
    </row>
    <row r="13" spans="1:2" x14ac:dyDescent="0.2">
      <c r="B13" s="29" t="s">
        <v>8</v>
      </c>
    </row>
    <row r="14" spans="1:2" x14ac:dyDescent="0.2">
      <c r="B14" s="30" t="s">
        <v>9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Information</vt:lpstr>
      <vt:lpstr>Admin</vt:lpstr>
      <vt:lpstr>Report</vt:lpstr>
      <vt:lpstr>Sample Values</vt:lpstr>
      <vt:lpstr>SQL</vt:lpstr>
      <vt:lpstr>DivisionID</vt:lpstr>
      <vt:lpstr>EndDate</vt:lpstr>
      <vt:lpstr>FromDate</vt:lpstr>
      <vt:lpstr>MacroNotice</vt:lpstr>
      <vt:lpstr>MacroStatus</vt:lpstr>
      <vt:lpstr>Admin!Print_Area</vt:lpstr>
      <vt:lpstr>Report!Print_Titles</vt:lpstr>
      <vt:lpstr>Admin!qryAREA</vt:lpstr>
      <vt:lpstr>Admin!qryDIVISION</vt:lpstr>
      <vt:lpstr>Report!qryJOB1</vt:lpstr>
      <vt:lpstr>ReportAreaName</vt:lpstr>
      <vt:lpstr>ReportDivision</vt:lpstr>
      <vt:lpstr>RevisionDate</vt:lpstr>
      <vt:lpstr>RevisionNumber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2017-08-03T18:36:13Z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Simplicity";Database="CardelAB";Behavior="2";Alias="True";AutoDetected="True";Hidden="False"</vt:lpwstr>
  </property>
  <property fmtid="{D5CDD505-2E9C-101B-9397-08002B2CF9AE}" pid="5" name="LRConnection2">
    <vt:lpwstr>Name="Builder MT - WMS";Type="WMS";Database="Allen Edwin Homes";Behavior="2";Alias="True";AutoDetected="True";Hidden="False"</vt:lpwstr>
  </property>
  <property fmtid="{D5CDD505-2E9C-101B-9397-08002B2CF9AE}" pid="6" name="LRVersion">
    <vt:lpwstr>Version 1.00.0073</vt:lpwstr>
  </property>
</Properties>
</file>